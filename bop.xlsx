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jeremias/Downloads/"/>
    </mc:Choice>
  </mc:AlternateContent>
  <xr:revisionPtr revIDLastSave="0" documentId="8_{9958E67B-6370-3640-8135-3BFC149D2FA9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ΕΡΓΟ" sheetId="5" r:id="rId1"/>
    <sheet name="ΑΠΟΛΟΓΙΣΤΙΚΑ" sheetId="2" r:id="rId2"/>
    <sheet name="ΕΝΟΙΚΙΑ" sheetId="3" r:id="rId3"/>
  </sheets>
  <definedNames>
    <definedName name="_xlnm._FilterDatabase" localSheetId="2" hidden="1">ΕΝΟΙΚΙΑ!$A$1:$P$180</definedName>
    <definedName name="_xlnm._FilterDatabase" localSheetId="0" hidden="1">ΕΡΓΟ!$A$2:$AM$1590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5" i="3" l="1"/>
  <c r="N195" i="3"/>
  <c r="M196" i="3"/>
  <c r="N196" i="3"/>
  <c r="O196" i="3" s="1"/>
  <c r="M197" i="3"/>
  <c r="N197" i="3"/>
  <c r="O197" i="3" s="1"/>
  <c r="M198" i="3"/>
  <c r="O198" i="3" s="1"/>
  <c r="N198" i="3"/>
  <c r="M199" i="3"/>
  <c r="N199" i="3"/>
  <c r="O199" i="3" l="1"/>
  <c r="O195" i="3"/>
  <c r="M43" i="5"/>
  <c r="L43" i="5"/>
  <c r="J59" i="2"/>
  <c r="K59" i="2"/>
  <c r="J58" i="2"/>
  <c r="K58" i="2"/>
  <c r="J57" i="2"/>
  <c r="K57" i="2"/>
  <c r="N173" i="3"/>
  <c r="N174" i="3"/>
  <c r="N175" i="3"/>
  <c r="N176" i="3"/>
  <c r="N177" i="3"/>
  <c r="N178" i="3"/>
  <c r="N179" i="3"/>
  <c r="N180" i="3"/>
  <c r="N181" i="3"/>
  <c r="O181" i="3" s="1"/>
  <c r="N183" i="3"/>
  <c r="N185" i="3"/>
  <c r="N186" i="3"/>
  <c r="N187" i="3"/>
  <c r="N188" i="3"/>
  <c r="N189" i="3"/>
  <c r="N190" i="3"/>
  <c r="N191" i="3"/>
  <c r="N192" i="3"/>
  <c r="N193" i="3"/>
  <c r="N194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O175" i="3" s="1"/>
  <c r="M176" i="3"/>
  <c r="M177" i="3"/>
  <c r="M178" i="3"/>
  <c r="M179" i="3"/>
  <c r="M180" i="3"/>
  <c r="M181" i="3"/>
  <c r="M182" i="3"/>
  <c r="M183" i="3"/>
  <c r="M184" i="3"/>
  <c r="M185" i="3"/>
  <c r="M186" i="3"/>
  <c r="M187" i="3"/>
  <c r="O187" i="3" s="1"/>
  <c r="M188" i="3"/>
  <c r="M189" i="3"/>
  <c r="M190" i="3"/>
  <c r="M191" i="3"/>
  <c r="M192" i="3"/>
  <c r="M193" i="3"/>
  <c r="M194" i="3"/>
  <c r="J184" i="3"/>
  <c r="N184" i="3" s="1"/>
  <c r="J182" i="3"/>
  <c r="N182" i="3" s="1"/>
  <c r="O180" i="3" l="1"/>
  <c r="O178" i="3"/>
  <c r="N43" i="5"/>
  <c r="O177" i="3"/>
  <c r="O182" i="3"/>
  <c r="O174" i="3"/>
  <c r="O184" i="3"/>
  <c r="O194" i="3"/>
  <c r="O190" i="3"/>
  <c r="O186" i="3"/>
  <c r="O188" i="3"/>
  <c r="O193" i="3"/>
  <c r="O189" i="3"/>
  <c r="O185" i="3"/>
  <c r="O192" i="3"/>
  <c r="O176" i="3"/>
  <c r="O191" i="3"/>
  <c r="O183" i="3"/>
  <c r="O179" i="3"/>
  <c r="M42" i="5"/>
  <c r="L42" i="5"/>
  <c r="M41" i="5"/>
  <c r="L41" i="5"/>
  <c r="J56" i="2"/>
  <c r="K56" i="2"/>
  <c r="J55" i="2"/>
  <c r="K55" i="2"/>
  <c r="J54" i="2"/>
  <c r="K54" i="2"/>
  <c r="J53" i="2"/>
  <c r="K53" i="2"/>
  <c r="J52" i="2"/>
  <c r="K52" i="2"/>
  <c r="J51" i="2"/>
  <c r="K51" i="2"/>
  <c r="J50" i="2"/>
  <c r="K50" i="2"/>
  <c r="J49" i="2"/>
  <c r="K49" i="2"/>
  <c r="J48" i="2"/>
  <c r="K48" i="2"/>
  <c r="J47" i="2"/>
  <c r="K47" i="2"/>
  <c r="J46" i="2"/>
  <c r="K46" i="2"/>
  <c r="J45" i="2"/>
  <c r="K45" i="2"/>
  <c r="J44" i="2"/>
  <c r="K44" i="2"/>
  <c r="M40" i="5"/>
  <c r="N40" i="5" s="1"/>
  <c r="L40" i="5"/>
  <c r="M39" i="5"/>
  <c r="L39" i="5"/>
  <c r="N39" i="5" s="1"/>
  <c r="M38" i="5"/>
  <c r="L38" i="5"/>
  <c r="M37" i="5"/>
  <c r="L37" i="5"/>
  <c r="M36" i="5"/>
  <c r="L36" i="5"/>
  <c r="M35" i="5"/>
  <c r="L35" i="5"/>
  <c r="M34" i="5"/>
  <c r="L34" i="5"/>
  <c r="N34" i="5" s="1"/>
  <c r="L32" i="5"/>
  <c r="N32" i="5" s="1"/>
  <c r="M32" i="5"/>
  <c r="L33" i="5"/>
  <c r="M33" i="5"/>
  <c r="M31" i="5"/>
  <c r="L31" i="5"/>
  <c r="J43" i="2"/>
  <c r="K43" i="2"/>
  <c r="J42" i="2"/>
  <c r="K42" i="2"/>
  <c r="J41" i="2"/>
  <c r="K41" i="2"/>
  <c r="J40" i="2"/>
  <c r="K40" i="2"/>
  <c r="J39" i="2"/>
  <c r="K39" i="2"/>
  <c r="J38" i="2"/>
  <c r="K38" i="2"/>
  <c r="J37" i="2"/>
  <c r="K37" i="2"/>
  <c r="J36" i="2"/>
  <c r="K36" i="2"/>
  <c r="J35" i="2"/>
  <c r="K35" i="2"/>
  <c r="J34" i="2"/>
  <c r="K34" i="2"/>
  <c r="M30" i="5"/>
  <c r="L30" i="5"/>
  <c r="M29" i="5"/>
  <c r="L29" i="5"/>
  <c r="M28" i="5"/>
  <c r="L28" i="5"/>
  <c r="M27" i="5"/>
  <c r="L27" i="5"/>
  <c r="J33" i="2"/>
  <c r="K33" i="2"/>
  <c r="J32" i="2"/>
  <c r="K32" i="2"/>
  <c r="J31" i="2"/>
  <c r="K31" i="2"/>
  <c r="N170" i="3"/>
  <c r="N171" i="3"/>
  <c r="N172" i="3"/>
  <c r="J30" i="2"/>
  <c r="K30" i="2"/>
  <c r="J29" i="2"/>
  <c r="K29" i="2"/>
  <c r="J28" i="2"/>
  <c r="K28" i="2"/>
  <c r="J27" i="2"/>
  <c r="K27" i="2"/>
  <c r="J26" i="2"/>
  <c r="K26" i="2"/>
  <c r="J25" i="2"/>
  <c r="K25" i="2"/>
  <c r="J24" i="2"/>
  <c r="K24" i="2"/>
  <c r="M26" i="5"/>
  <c r="L26" i="5"/>
  <c r="M25" i="5"/>
  <c r="L25" i="5"/>
  <c r="J23" i="2"/>
  <c r="K23" i="2"/>
  <c r="J22" i="2"/>
  <c r="K22" i="2"/>
  <c r="J21" i="2"/>
  <c r="K21" i="2"/>
  <c r="J20" i="2"/>
  <c r="K20" i="2"/>
  <c r="J19" i="2"/>
  <c r="K19" i="2"/>
  <c r="J18" i="2"/>
  <c r="K18" i="2"/>
  <c r="L22" i="5"/>
  <c r="M22" i="5"/>
  <c r="L23" i="5"/>
  <c r="L24" i="5"/>
  <c r="M24" i="5"/>
  <c r="I23" i="5"/>
  <c r="M23" i="5" s="1"/>
  <c r="M21" i="5"/>
  <c r="M19" i="5"/>
  <c r="L19" i="5"/>
  <c r="L20" i="5"/>
  <c r="L21" i="5"/>
  <c r="I20" i="5"/>
  <c r="M20" i="5" s="1"/>
  <c r="N36" i="5" l="1"/>
  <c r="N27" i="5"/>
  <c r="N31" i="5"/>
  <c r="N37" i="5"/>
  <c r="N24" i="5"/>
  <c r="N26" i="5"/>
  <c r="N29" i="5"/>
  <c r="N30" i="5"/>
  <c r="N22" i="5"/>
  <c r="N33" i="5"/>
  <c r="N38" i="5"/>
  <c r="N35" i="5"/>
  <c r="N42" i="5"/>
  <c r="N41" i="5"/>
  <c r="N28" i="5"/>
  <c r="O170" i="3"/>
  <c r="N25" i="5"/>
  <c r="N23" i="5"/>
  <c r="O171" i="3"/>
  <c r="O173" i="3"/>
  <c r="O172" i="3"/>
  <c r="N21" i="5"/>
  <c r="N20" i="5"/>
  <c r="N19" i="5"/>
  <c r="M18" i="5" l="1"/>
  <c r="L18" i="5"/>
  <c r="N18" i="5" s="1"/>
  <c r="L16" i="5"/>
  <c r="M16" i="5"/>
  <c r="L17" i="5"/>
  <c r="M17" i="5"/>
  <c r="N16" i="5" l="1"/>
  <c r="N17" i="5"/>
  <c r="L14" i="5"/>
  <c r="M14" i="5"/>
  <c r="L15" i="5"/>
  <c r="M15" i="5"/>
  <c r="N14" i="5" l="1"/>
  <c r="N15" i="5"/>
  <c r="M12" i="5"/>
  <c r="M10" i="5"/>
  <c r="M7" i="5"/>
  <c r="M8" i="5" s="1"/>
  <c r="I8" i="5"/>
  <c r="M5" i="5" l="1"/>
  <c r="N160" i="3" l="1"/>
  <c r="O160" i="3" s="1"/>
  <c r="N162" i="3"/>
  <c r="N163" i="3"/>
  <c r="N164" i="3"/>
  <c r="N165" i="3"/>
  <c r="N166" i="3"/>
  <c r="N167" i="3"/>
  <c r="N168" i="3"/>
  <c r="N169" i="3"/>
  <c r="J161" i="3"/>
  <c r="N161" i="3" s="1"/>
  <c r="O161" i="3" s="1"/>
  <c r="N10" i="3"/>
  <c r="M10" i="3"/>
  <c r="N159" i="3"/>
  <c r="N158" i="3"/>
  <c r="J157" i="3"/>
  <c r="N157" i="3" s="1"/>
  <c r="N156" i="3"/>
  <c r="N155" i="3"/>
  <c r="N154" i="3"/>
  <c r="N153" i="3"/>
  <c r="N152" i="3"/>
  <c r="N151" i="3"/>
  <c r="J150" i="3"/>
  <c r="N150" i="3" s="1"/>
  <c r="N149" i="3"/>
  <c r="J148" i="3"/>
  <c r="N148" i="3" s="1"/>
  <c r="O148" i="3" s="1"/>
  <c r="N147" i="3"/>
  <c r="N146" i="3"/>
  <c r="J145" i="3"/>
  <c r="N145" i="3" s="1"/>
  <c r="N144" i="3"/>
  <c r="J143" i="3"/>
  <c r="N143" i="3" s="1"/>
  <c r="N142" i="3"/>
  <c r="N141" i="3"/>
  <c r="N140" i="3"/>
  <c r="N139" i="3"/>
  <c r="N138" i="3"/>
  <c r="N137" i="3"/>
  <c r="O137" i="3" s="1"/>
  <c r="N136" i="3"/>
  <c r="N135" i="3"/>
  <c r="J134" i="3"/>
  <c r="N134" i="3" s="1"/>
  <c r="N133" i="3"/>
  <c r="N132" i="3"/>
  <c r="N131" i="3"/>
  <c r="N130" i="3"/>
  <c r="N129" i="3"/>
  <c r="N128" i="3"/>
  <c r="N127" i="3"/>
  <c r="N126" i="3"/>
  <c r="N125" i="3"/>
  <c r="N124" i="3"/>
  <c r="J123" i="3"/>
  <c r="N123" i="3" s="1"/>
  <c r="N122" i="3"/>
  <c r="N121" i="3"/>
  <c r="J120" i="3"/>
  <c r="N120" i="3" s="1"/>
  <c r="N119" i="3"/>
  <c r="J118" i="3"/>
  <c r="N118" i="3" s="1"/>
  <c r="N117" i="3"/>
  <c r="O117" i="3" s="1"/>
  <c r="N116" i="3"/>
  <c r="N115" i="3"/>
  <c r="J114" i="3"/>
  <c r="N114" i="3" s="1"/>
  <c r="N113" i="3"/>
  <c r="N112" i="3"/>
  <c r="J111" i="3"/>
  <c r="N111" i="3" s="1"/>
  <c r="N110" i="3"/>
  <c r="N109" i="3"/>
  <c r="N108" i="3"/>
  <c r="N107" i="3"/>
  <c r="N106" i="3"/>
  <c r="N105" i="3"/>
  <c r="N104" i="3"/>
  <c r="M3" i="3"/>
  <c r="J3" i="3"/>
  <c r="N3" i="3" s="1"/>
  <c r="N2" i="3"/>
  <c r="M2" i="3"/>
  <c r="N103" i="3"/>
  <c r="N102" i="3"/>
  <c r="J101" i="3"/>
  <c r="N101" i="3" s="1"/>
  <c r="O101" i="3" s="1"/>
  <c r="N100" i="3"/>
  <c r="O100" i="3" s="1"/>
  <c r="N99" i="3"/>
  <c r="N98" i="3"/>
  <c r="N97" i="3"/>
  <c r="N96" i="3"/>
  <c r="J95" i="3"/>
  <c r="N95" i="3" s="1"/>
  <c r="N94" i="3"/>
  <c r="N93" i="3"/>
  <c r="N25" i="3"/>
  <c r="N92" i="3"/>
  <c r="N91" i="3"/>
  <c r="N90" i="3"/>
  <c r="J89" i="3"/>
  <c r="N89" i="3" s="1"/>
  <c r="N88" i="3"/>
  <c r="N87" i="3"/>
  <c r="O87" i="3" s="1"/>
  <c r="N86" i="3"/>
  <c r="O86" i="3" s="1"/>
  <c r="N2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J24" i="3"/>
  <c r="N24" i="3" s="1"/>
  <c r="N23" i="3"/>
  <c r="N70" i="3"/>
  <c r="N69" i="3"/>
  <c r="N9" i="3"/>
  <c r="M9" i="3"/>
  <c r="N8" i="3"/>
  <c r="M8" i="3"/>
  <c r="N7" i="3"/>
  <c r="M7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22" i="3"/>
  <c r="N21" i="3"/>
  <c r="N20" i="3"/>
  <c r="N53" i="3"/>
  <c r="N19" i="3"/>
  <c r="N18" i="3"/>
  <c r="N17" i="3"/>
  <c r="N52" i="3"/>
  <c r="N51" i="3"/>
  <c r="N16" i="3"/>
  <c r="N15" i="3"/>
  <c r="M15" i="3"/>
  <c r="N14" i="3"/>
  <c r="M14" i="3"/>
  <c r="N13" i="3"/>
  <c r="M13" i="3"/>
  <c r="N12" i="3"/>
  <c r="M12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6" i="3"/>
  <c r="M6" i="3"/>
  <c r="N5" i="3"/>
  <c r="M5" i="3"/>
  <c r="N4" i="3"/>
  <c r="M4" i="3"/>
  <c r="N11" i="3"/>
  <c r="M11" i="3"/>
  <c r="N33" i="3"/>
  <c r="N32" i="3"/>
  <c r="N31" i="3"/>
  <c r="N30" i="3"/>
  <c r="N29" i="3"/>
  <c r="N28" i="3"/>
  <c r="N27" i="3"/>
  <c r="O10" i="3" l="1"/>
  <c r="O42" i="3"/>
  <c r="O41" i="3"/>
  <c r="O3" i="3"/>
  <c r="O110" i="3"/>
  <c r="O108" i="3"/>
  <c r="O143" i="3"/>
  <c r="O122" i="3"/>
  <c r="O165" i="3"/>
  <c r="O138" i="3"/>
  <c r="O166" i="3"/>
  <c r="O39" i="3"/>
  <c r="O99" i="3"/>
  <c r="O141" i="3"/>
  <c r="O118" i="3"/>
  <c r="O134" i="3"/>
  <c r="O150" i="3"/>
  <c r="O164" i="3"/>
  <c r="O120" i="3"/>
  <c r="O107" i="3"/>
  <c r="O109" i="3"/>
  <c r="O169" i="3"/>
  <c r="O83" i="3"/>
  <c r="O17" i="3"/>
  <c r="O24" i="3"/>
  <c r="O38" i="3"/>
  <c r="O153" i="3"/>
  <c r="O62" i="3"/>
  <c r="O51" i="3"/>
  <c r="O56" i="3"/>
  <c r="O36" i="3"/>
  <c r="O155" i="3"/>
  <c r="O158" i="3"/>
  <c r="O40" i="3"/>
  <c r="O159" i="3"/>
  <c r="O114" i="3"/>
  <c r="O147" i="3"/>
  <c r="O78" i="3"/>
  <c r="O79" i="3"/>
  <c r="O144" i="3"/>
  <c r="O6" i="3"/>
  <c r="O149" i="3"/>
  <c r="O113" i="3"/>
  <c r="O11" i="3"/>
  <c r="O167" i="3"/>
  <c r="O63" i="3"/>
  <c r="O27" i="3"/>
  <c r="O30" i="3"/>
  <c r="O163" i="3"/>
  <c r="O89" i="3"/>
  <c r="O34" i="3"/>
  <c r="O48" i="3"/>
  <c r="O70" i="3"/>
  <c r="O123" i="3"/>
  <c r="O16" i="3"/>
  <c r="O65" i="3"/>
  <c r="O102" i="3"/>
  <c r="O162" i="3"/>
  <c r="O5" i="3"/>
  <c r="O58" i="3"/>
  <c r="O55" i="3"/>
  <c r="O168" i="3"/>
  <c r="O53" i="3"/>
  <c r="O23" i="3"/>
  <c r="O124" i="3"/>
  <c r="O18" i="3"/>
  <c r="O125" i="3"/>
  <c r="O45" i="3"/>
  <c r="O46" i="3"/>
  <c r="O28" i="3"/>
  <c r="O52" i="3"/>
  <c r="O20" i="3"/>
  <c r="O156" i="3"/>
  <c r="O67" i="3"/>
  <c r="O76" i="3"/>
  <c r="O129" i="3"/>
  <c r="O157" i="3"/>
  <c r="O115" i="3"/>
  <c r="O130" i="3"/>
  <c r="O57" i="3"/>
  <c r="O8" i="3"/>
  <c r="O77" i="3"/>
  <c r="O54" i="3"/>
  <c r="O21" i="3"/>
  <c r="O49" i="3"/>
  <c r="O7" i="3"/>
  <c r="O66" i="3"/>
  <c r="O59" i="3"/>
  <c r="O50" i="3"/>
  <c r="O133" i="3"/>
  <c r="O60" i="3"/>
  <c r="O61" i="3"/>
  <c r="O82" i="3"/>
  <c r="O94" i="3"/>
  <c r="O15" i="3"/>
  <c r="O81" i="3"/>
  <c r="O95" i="3"/>
  <c r="O37" i="3"/>
  <c r="O116" i="3"/>
  <c r="O12" i="3"/>
  <c r="O135" i="3"/>
  <c r="O121" i="3"/>
  <c r="O22" i="3"/>
  <c r="O151" i="3"/>
  <c r="O68" i="3"/>
  <c r="O91" i="3"/>
  <c r="O33" i="3"/>
  <c r="O92" i="3"/>
  <c r="O14" i="3"/>
  <c r="O4" i="3"/>
  <c r="O71" i="3"/>
  <c r="O84" i="3"/>
  <c r="O96" i="3"/>
  <c r="O128" i="3"/>
  <c r="O145" i="3"/>
  <c r="O2" i="3"/>
  <c r="O119" i="3"/>
  <c r="O25" i="3"/>
  <c r="O152" i="3"/>
  <c r="O75" i="3"/>
  <c r="O104" i="3"/>
  <c r="O93" i="3"/>
  <c r="O43" i="3"/>
  <c r="O72" i="3"/>
  <c r="O85" i="3"/>
  <c r="O97" i="3"/>
  <c r="O139" i="3"/>
  <c r="O31" i="3"/>
  <c r="O69" i="3"/>
  <c r="O136" i="3"/>
  <c r="O44" i="3"/>
  <c r="O64" i="3"/>
  <c r="O26" i="3"/>
  <c r="O98" i="3"/>
  <c r="O111" i="3"/>
  <c r="O140" i="3"/>
  <c r="O88" i="3"/>
  <c r="O90" i="3"/>
  <c r="O132" i="3"/>
  <c r="O9" i="3"/>
  <c r="O13" i="3"/>
  <c r="O80" i="3"/>
  <c r="O47" i="3"/>
  <c r="O32" i="3"/>
  <c r="O103" i="3"/>
  <c r="O105" i="3"/>
  <c r="O106" i="3"/>
  <c r="O73" i="3"/>
  <c r="O126" i="3"/>
  <c r="O154" i="3"/>
  <c r="O146" i="3"/>
  <c r="O35" i="3"/>
  <c r="O19" i="3"/>
  <c r="O112" i="3"/>
  <c r="O131" i="3"/>
  <c r="O29" i="3"/>
  <c r="O74" i="3"/>
  <c r="O127" i="3"/>
  <c r="O142" i="3"/>
  <c r="P1" i="3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M4" i="5"/>
  <c r="M6" i="5"/>
  <c r="M9" i="5"/>
  <c r="M11" i="5"/>
  <c r="M13" i="5"/>
  <c r="L4" i="5"/>
  <c r="L5" i="5"/>
  <c r="L6" i="5"/>
  <c r="L7" i="5"/>
  <c r="L8" i="5"/>
  <c r="L9" i="5"/>
  <c r="L10" i="5"/>
  <c r="L11" i="5"/>
  <c r="L12" i="5"/>
  <c r="L13" i="5"/>
  <c r="L3" i="5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2" i="2"/>
  <c r="M3" i="5"/>
  <c r="N4" i="5" l="1"/>
  <c r="N5" i="5"/>
  <c r="N6" i="5"/>
  <c r="N7" i="5"/>
  <c r="N8" i="5"/>
  <c r="N9" i="5"/>
  <c r="N10" i="5"/>
  <c r="N11" i="5"/>
  <c r="N12" i="5"/>
  <c r="N13" i="5"/>
  <c r="N3" i="5" l="1"/>
  <c r="Q2" i="5" s="1"/>
  <c r="XEZ73" i="3" l="1"/>
  <c r="XEY73" i="3"/>
  <c r="XEJ73" i="3"/>
  <c r="XEI73" i="3"/>
  <c r="XDT73" i="3"/>
  <c r="XDS73" i="3"/>
  <c r="XDD73" i="3"/>
  <c r="XDC73" i="3"/>
  <c r="XCN73" i="3"/>
  <c r="XCM73" i="3"/>
  <c r="XBX73" i="3"/>
  <c r="XBW73" i="3"/>
  <c r="XBH73" i="3"/>
  <c r="XBG73" i="3"/>
  <c r="XAR73" i="3"/>
  <c r="XAQ73" i="3"/>
  <c r="XAB73" i="3"/>
  <c r="XAA73" i="3"/>
  <c r="WZL73" i="3"/>
  <c r="WZK73" i="3"/>
  <c r="WYV73" i="3"/>
  <c r="WYU73" i="3"/>
  <c r="WYF73" i="3"/>
  <c r="WYE73" i="3"/>
  <c r="WXP73" i="3"/>
  <c r="WXO73" i="3"/>
  <c r="WWZ73" i="3"/>
  <c r="WWY73" i="3"/>
  <c r="WWJ73" i="3"/>
  <c r="WWI73" i="3"/>
  <c r="WVT73" i="3"/>
  <c r="WVS73" i="3"/>
  <c r="WVD73" i="3"/>
  <c r="WVC73" i="3"/>
  <c r="WUN73" i="3"/>
  <c r="WUM73" i="3"/>
  <c r="WTX73" i="3"/>
  <c r="WTW73" i="3"/>
  <c r="WTH73" i="3"/>
  <c r="WTG73" i="3"/>
  <c r="WSR73" i="3"/>
  <c r="WSQ73" i="3"/>
  <c r="WSB73" i="3"/>
  <c r="WSA73" i="3"/>
  <c r="WRL73" i="3"/>
  <c r="WRK73" i="3"/>
  <c r="WQV73" i="3"/>
  <c r="WQU73" i="3"/>
  <c r="WQF73" i="3"/>
  <c r="WQE73" i="3"/>
  <c r="WPP73" i="3"/>
  <c r="WPO73" i="3"/>
  <c r="WOZ73" i="3"/>
  <c r="WOY73" i="3"/>
  <c r="WOJ73" i="3"/>
  <c r="WOI73" i="3"/>
  <c r="WNT73" i="3"/>
  <c r="WNS73" i="3"/>
  <c r="WND73" i="3"/>
  <c r="WNC73" i="3"/>
  <c r="WMN73" i="3"/>
  <c r="WMM73" i="3"/>
  <c r="WLX73" i="3"/>
  <c r="WLW73" i="3"/>
  <c r="WLH73" i="3"/>
  <c r="WLG73" i="3"/>
  <c r="WKR73" i="3"/>
  <c r="WKQ73" i="3"/>
  <c r="WKB73" i="3"/>
  <c r="WKA73" i="3"/>
  <c r="WJL73" i="3"/>
  <c r="WJK73" i="3"/>
  <c r="WIV73" i="3"/>
  <c r="WIU73" i="3"/>
  <c r="WIF73" i="3"/>
  <c r="WIE73" i="3"/>
  <c r="WHP73" i="3"/>
  <c r="WHO73" i="3"/>
  <c r="WGZ73" i="3"/>
  <c r="WGY73" i="3"/>
  <c r="WGJ73" i="3"/>
  <c r="WGI73" i="3"/>
  <c r="WFT73" i="3"/>
  <c r="WFS73" i="3"/>
  <c r="WFD73" i="3"/>
  <c r="WFC73" i="3"/>
  <c r="WEN73" i="3"/>
  <c r="WEM73" i="3"/>
  <c r="WDX73" i="3"/>
  <c r="WDW73" i="3"/>
  <c r="WDH73" i="3"/>
  <c r="WDG73" i="3"/>
  <c r="WCR73" i="3"/>
  <c r="WCQ73" i="3"/>
  <c r="WCB73" i="3"/>
  <c r="WCA73" i="3"/>
  <c r="WBL73" i="3"/>
  <c r="WBK73" i="3"/>
  <c r="WAV73" i="3"/>
  <c r="WAU73" i="3"/>
  <c r="WAF73" i="3"/>
  <c r="WAE73" i="3"/>
  <c r="VZP73" i="3"/>
  <c r="VZO73" i="3"/>
  <c r="VYZ73" i="3"/>
  <c r="VYY73" i="3"/>
  <c r="VYJ73" i="3"/>
  <c r="VYI73" i="3"/>
  <c r="VXT73" i="3"/>
  <c r="VXS73" i="3"/>
  <c r="VXD73" i="3"/>
  <c r="VXC73" i="3"/>
  <c r="VWN73" i="3"/>
  <c r="VWM73" i="3"/>
  <c r="VVX73" i="3"/>
  <c r="VVW73" i="3"/>
  <c r="VVH73" i="3"/>
  <c r="VVG73" i="3"/>
  <c r="VUR73" i="3"/>
  <c r="VUQ73" i="3"/>
  <c r="VUB73" i="3"/>
  <c r="VUA73" i="3"/>
  <c r="VTL73" i="3"/>
  <c r="VTK73" i="3"/>
  <c r="VSV73" i="3"/>
  <c r="VSU73" i="3"/>
  <c r="VSF73" i="3"/>
  <c r="VSE73" i="3"/>
  <c r="VRP73" i="3"/>
  <c r="VRO73" i="3"/>
  <c r="VQZ73" i="3"/>
  <c r="VQY73" i="3"/>
  <c r="VQJ73" i="3"/>
  <c r="VQI73" i="3"/>
  <c r="VPT73" i="3"/>
  <c r="VPS73" i="3"/>
  <c r="VPD73" i="3"/>
  <c r="VPC73" i="3"/>
  <c r="VON73" i="3"/>
  <c r="VOM73" i="3"/>
  <c r="VNX73" i="3"/>
  <c r="VNW73" i="3"/>
  <c r="VNH73" i="3"/>
  <c r="VNG73" i="3"/>
  <c r="VMR73" i="3"/>
  <c r="VMQ73" i="3"/>
  <c r="VMB73" i="3"/>
  <c r="VMA73" i="3"/>
  <c r="VLL73" i="3"/>
  <c r="VLK73" i="3"/>
  <c r="VKV73" i="3"/>
  <c r="VKU73" i="3"/>
  <c r="VKF73" i="3"/>
  <c r="VKE73" i="3"/>
  <c r="VJP73" i="3"/>
  <c r="VJO73" i="3"/>
  <c r="VIZ73" i="3"/>
  <c r="VIY73" i="3"/>
  <c r="VIJ73" i="3"/>
  <c r="VII73" i="3"/>
  <c r="VHT73" i="3"/>
  <c r="VHS73" i="3"/>
  <c r="VHD73" i="3"/>
  <c r="VHC73" i="3"/>
  <c r="VGN73" i="3"/>
  <c r="VGM73" i="3"/>
  <c r="VFX73" i="3"/>
  <c r="VFW73" i="3"/>
  <c r="VFH73" i="3"/>
  <c r="VFG73" i="3"/>
  <c r="VER73" i="3"/>
  <c r="VEQ73" i="3"/>
  <c r="VEB73" i="3"/>
  <c r="VEA73" i="3"/>
  <c r="VDL73" i="3"/>
  <c r="VDK73" i="3"/>
  <c r="VCV73" i="3"/>
  <c r="VCU73" i="3"/>
  <c r="VCF73" i="3"/>
  <c r="VCE73" i="3"/>
  <c r="VBP73" i="3"/>
  <c r="VBO73" i="3"/>
  <c r="VAZ73" i="3"/>
  <c r="VAY73" i="3"/>
  <c r="VAJ73" i="3"/>
  <c r="VAI73" i="3"/>
  <c r="UZT73" i="3"/>
  <c r="UZS73" i="3"/>
  <c r="UZD73" i="3"/>
  <c r="UZC73" i="3"/>
  <c r="UYN73" i="3"/>
  <c r="UYM73" i="3"/>
  <c r="UXX73" i="3"/>
  <c r="UXW73" i="3"/>
  <c r="UXH73" i="3"/>
  <c r="UXG73" i="3"/>
  <c r="UWR73" i="3"/>
  <c r="UWQ73" i="3"/>
  <c r="UWB73" i="3"/>
  <c r="UWA73" i="3"/>
  <c r="UVL73" i="3"/>
  <c r="UVK73" i="3"/>
  <c r="UUV73" i="3"/>
  <c r="UUU73" i="3"/>
  <c r="UUF73" i="3"/>
  <c r="UUE73" i="3"/>
  <c r="UTP73" i="3"/>
  <c r="UTO73" i="3"/>
  <c r="USZ73" i="3"/>
  <c r="USY73" i="3"/>
  <c r="USJ73" i="3"/>
  <c r="USI73" i="3"/>
  <c r="URT73" i="3"/>
  <c r="URS73" i="3"/>
  <c r="URD73" i="3"/>
  <c r="URC73" i="3"/>
  <c r="UQN73" i="3"/>
  <c r="UQM73" i="3"/>
  <c r="UPX73" i="3"/>
  <c r="UPW73" i="3"/>
  <c r="UPH73" i="3"/>
  <c r="UPG73" i="3"/>
  <c r="UOR73" i="3"/>
  <c r="UOQ73" i="3"/>
  <c r="UOB73" i="3"/>
  <c r="UOA73" i="3"/>
  <c r="UNL73" i="3"/>
  <c r="UNK73" i="3"/>
  <c r="UMV73" i="3"/>
  <c r="UMU73" i="3"/>
  <c r="UMF73" i="3"/>
  <c r="UME73" i="3"/>
  <c r="ULP73" i="3"/>
  <c r="ULO73" i="3"/>
  <c r="UKZ73" i="3"/>
  <c r="UKY73" i="3"/>
  <c r="UKJ73" i="3"/>
  <c r="UKI73" i="3"/>
  <c r="UJT73" i="3"/>
  <c r="UJS73" i="3"/>
  <c r="UJD73" i="3"/>
  <c r="UJC73" i="3"/>
  <c r="UIN73" i="3"/>
  <c r="UIM73" i="3"/>
  <c r="UHX73" i="3"/>
  <c r="UHW73" i="3"/>
  <c r="UHH73" i="3"/>
  <c r="UHG73" i="3"/>
  <c r="UGR73" i="3"/>
  <c r="UGQ73" i="3"/>
  <c r="UGB73" i="3"/>
  <c r="UGA73" i="3"/>
  <c r="UFL73" i="3"/>
  <c r="UFK73" i="3"/>
  <c r="UEV73" i="3"/>
  <c r="UEU73" i="3"/>
  <c r="UEF73" i="3"/>
  <c r="UEE73" i="3"/>
  <c r="UDP73" i="3"/>
  <c r="UDO73" i="3"/>
  <c r="UCZ73" i="3"/>
  <c r="UCY73" i="3"/>
  <c r="UCJ73" i="3"/>
  <c r="UCI73" i="3"/>
  <c r="UBT73" i="3"/>
  <c r="UBS73" i="3"/>
  <c r="UBD73" i="3"/>
  <c r="UBC73" i="3"/>
  <c r="UAN73" i="3"/>
  <c r="UAM73" i="3"/>
  <c r="TZX73" i="3"/>
  <c r="TZW73" i="3"/>
  <c r="TZH73" i="3"/>
  <c r="TZG73" i="3"/>
  <c r="TYR73" i="3"/>
  <c r="TYQ73" i="3"/>
  <c r="TYB73" i="3"/>
  <c r="TYA73" i="3"/>
  <c r="TXL73" i="3"/>
  <c r="TXK73" i="3"/>
  <c r="TWV73" i="3"/>
  <c r="TWU73" i="3"/>
  <c r="TWF73" i="3"/>
  <c r="TWE73" i="3"/>
  <c r="TVP73" i="3"/>
  <c r="TVO73" i="3"/>
  <c r="TUZ73" i="3"/>
  <c r="TUY73" i="3"/>
  <c r="TUJ73" i="3"/>
  <c r="TUI73" i="3"/>
  <c r="TTT73" i="3"/>
  <c r="TTS73" i="3"/>
  <c r="TTD73" i="3"/>
  <c r="TTC73" i="3"/>
  <c r="TSN73" i="3"/>
  <c r="TSM73" i="3"/>
  <c r="TRX73" i="3"/>
  <c r="TRW73" i="3"/>
  <c r="TRH73" i="3"/>
  <c r="TRG73" i="3"/>
  <c r="TQR73" i="3"/>
  <c r="TQQ73" i="3"/>
  <c r="TQB73" i="3"/>
  <c r="TQA73" i="3"/>
  <c r="TPL73" i="3"/>
  <c r="TPK73" i="3"/>
  <c r="TOV73" i="3"/>
  <c r="TOU73" i="3"/>
  <c r="TOF73" i="3"/>
  <c r="TOE73" i="3"/>
  <c r="TNP73" i="3"/>
  <c r="TNO73" i="3"/>
  <c r="TMZ73" i="3"/>
  <c r="TMY73" i="3"/>
  <c r="TMJ73" i="3"/>
  <c r="TMI73" i="3"/>
  <c r="TLT73" i="3"/>
  <c r="TLS73" i="3"/>
  <c r="TLD73" i="3"/>
  <c r="TLC73" i="3"/>
  <c r="TKN73" i="3"/>
  <c r="TKM73" i="3"/>
  <c r="TJX73" i="3"/>
  <c r="TJW73" i="3"/>
  <c r="TJH73" i="3"/>
  <c r="TJG73" i="3"/>
  <c r="TIR73" i="3"/>
  <c r="TIQ73" i="3"/>
  <c r="TIB73" i="3"/>
  <c r="TIA73" i="3"/>
  <c r="THL73" i="3"/>
  <c r="THK73" i="3"/>
  <c r="TGV73" i="3"/>
  <c r="TGU73" i="3"/>
  <c r="TGF73" i="3"/>
  <c r="TGE73" i="3"/>
  <c r="TFP73" i="3"/>
  <c r="TFO73" i="3"/>
  <c r="TEZ73" i="3"/>
  <c r="TEY73" i="3"/>
  <c r="TEJ73" i="3"/>
  <c r="TEI73" i="3"/>
  <c r="TDT73" i="3"/>
  <c r="TDS73" i="3"/>
  <c r="TDD73" i="3"/>
  <c r="TDC73" i="3"/>
  <c r="TCN73" i="3"/>
  <c r="TCM73" i="3"/>
  <c r="TBX73" i="3"/>
  <c r="TBW73" i="3"/>
  <c r="TBH73" i="3"/>
  <c r="TBG73" i="3"/>
  <c r="TAR73" i="3"/>
  <c r="TAQ73" i="3"/>
  <c r="TAB73" i="3"/>
  <c r="TAA73" i="3"/>
  <c r="SZL73" i="3"/>
  <c r="SZK73" i="3"/>
  <c r="SYV73" i="3"/>
  <c r="SYU73" i="3"/>
  <c r="SYF73" i="3"/>
  <c r="SYE73" i="3"/>
  <c r="SXP73" i="3"/>
  <c r="SXO73" i="3"/>
  <c r="SWZ73" i="3"/>
  <c r="SWY73" i="3"/>
  <c r="SWJ73" i="3"/>
  <c r="SWI73" i="3"/>
  <c r="SVT73" i="3"/>
  <c r="SVS73" i="3"/>
  <c r="SVD73" i="3"/>
  <c r="SVC73" i="3"/>
  <c r="SUN73" i="3"/>
  <c r="SUM73" i="3"/>
  <c r="STX73" i="3"/>
  <c r="STW73" i="3"/>
  <c r="STH73" i="3"/>
  <c r="STG73" i="3"/>
  <c r="SSR73" i="3"/>
  <c r="SSQ73" i="3"/>
  <c r="SSB73" i="3"/>
  <c r="SSA73" i="3"/>
  <c r="SRL73" i="3"/>
  <c r="SRK73" i="3"/>
  <c r="SQV73" i="3"/>
  <c r="SQU73" i="3"/>
  <c r="SQF73" i="3"/>
  <c r="SQE73" i="3"/>
  <c r="SPP73" i="3"/>
  <c r="SPO73" i="3"/>
  <c r="SOZ73" i="3"/>
  <c r="SOY73" i="3"/>
  <c r="SOJ73" i="3"/>
  <c r="SOI73" i="3"/>
  <c r="SNT73" i="3"/>
  <c r="SNS73" i="3"/>
  <c r="SND73" i="3"/>
  <c r="SNC73" i="3"/>
  <c r="SMN73" i="3"/>
  <c r="SMM73" i="3"/>
  <c r="SLX73" i="3"/>
  <c r="SLW73" i="3"/>
  <c r="SLH73" i="3"/>
  <c r="SLG73" i="3"/>
  <c r="SKR73" i="3"/>
  <c r="SKQ73" i="3"/>
  <c r="SKB73" i="3"/>
  <c r="SKA73" i="3"/>
  <c r="SJL73" i="3"/>
  <c r="SJK73" i="3"/>
  <c r="SIV73" i="3"/>
  <c r="SIU73" i="3"/>
  <c r="SIF73" i="3"/>
  <c r="SIE73" i="3"/>
  <c r="SHP73" i="3"/>
  <c r="SHO73" i="3"/>
  <c r="SGZ73" i="3"/>
  <c r="SGY73" i="3"/>
  <c r="SGJ73" i="3"/>
  <c r="SGI73" i="3"/>
  <c r="SFT73" i="3"/>
  <c r="SFS73" i="3"/>
  <c r="SFD73" i="3"/>
  <c r="SFC73" i="3"/>
  <c r="SEN73" i="3"/>
  <c r="SEM73" i="3"/>
  <c r="SDX73" i="3"/>
  <c r="SDW73" i="3"/>
  <c r="SDH73" i="3"/>
  <c r="SDG73" i="3"/>
  <c r="SCR73" i="3"/>
  <c r="SCQ73" i="3"/>
  <c r="SCB73" i="3"/>
  <c r="SCA73" i="3"/>
  <c r="SBL73" i="3"/>
  <c r="SBK73" i="3"/>
  <c r="SAV73" i="3"/>
  <c r="SAU73" i="3"/>
  <c r="SAF73" i="3"/>
  <c r="SAE73" i="3"/>
  <c r="RZP73" i="3"/>
  <c r="RZO73" i="3"/>
  <c r="RYZ73" i="3"/>
  <c r="RYY73" i="3"/>
  <c r="RYJ73" i="3"/>
  <c r="RYI73" i="3"/>
  <c r="RXT73" i="3"/>
  <c r="RXS73" i="3"/>
  <c r="RXD73" i="3"/>
  <c r="RXC73" i="3"/>
  <c r="RWN73" i="3"/>
  <c r="RWM73" i="3"/>
  <c r="RVX73" i="3"/>
  <c r="RVW73" i="3"/>
  <c r="RVH73" i="3"/>
  <c r="RVG73" i="3"/>
  <c r="RUR73" i="3"/>
  <c r="RUQ73" i="3"/>
  <c r="RUB73" i="3"/>
  <c r="RUA73" i="3"/>
  <c r="RTL73" i="3"/>
  <c r="RTK73" i="3"/>
  <c r="RSV73" i="3"/>
  <c r="RSU73" i="3"/>
  <c r="RSF73" i="3"/>
  <c r="RSE73" i="3"/>
  <c r="RRP73" i="3"/>
  <c r="RRO73" i="3"/>
  <c r="RQZ73" i="3"/>
  <c r="RQY73" i="3"/>
  <c r="RQJ73" i="3"/>
  <c r="RQI73" i="3"/>
  <c r="RPT73" i="3"/>
  <c r="RPS73" i="3"/>
  <c r="RPD73" i="3"/>
  <c r="RPC73" i="3"/>
  <c r="RON73" i="3"/>
  <c r="ROM73" i="3"/>
  <c r="RNX73" i="3"/>
  <c r="RNW73" i="3"/>
  <c r="RNH73" i="3"/>
  <c r="RNG73" i="3"/>
  <c r="RMR73" i="3"/>
  <c r="RMQ73" i="3"/>
  <c r="RMB73" i="3"/>
  <c r="RMA73" i="3"/>
  <c r="RLL73" i="3"/>
  <c r="RLK73" i="3"/>
  <c r="RKV73" i="3"/>
  <c r="RKU73" i="3"/>
  <c r="RKF73" i="3"/>
  <c r="RKE73" i="3"/>
  <c r="RJP73" i="3"/>
  <c r="RJO73" i="3"/>
  <c r="RIZ73" i="3"/>
  <c r="RIY73" i="3"/>
  <c r="RIJ73" i="3"/>
  <c r="RII73" i="3"/>
  <c r="RHT73" i="3"/>
  <c r="RHS73" i="3"/>
  <c r="RHD73" i="3"/>
  <c r="RHC73" i="3"/>
  <c r="RGN73" i="3"/>
  <c r="RGM73" i="3"/>
  <c r="RFX73" i="3"/>
  <c r="RFW73" i="3"/>
  <c r="RFH73" i="3"/>
  <c r="RFG73" i="3"/>
  <c r="RER73" i="3"/>
  <c r="REQ73" i="3"/>
  <c r="REB73" i="3"/>
  <c r="REA73" i="3"/>
  <c r="RDL73" i="3"/>
  <c r="RDK73" i="3"/>
  <c r="RCV73" i="3"/>
  <c r="RCU73" i="3"/>
  <c r="RCF73" i="3"/>
  <c r="RCE73" i="3"/>
  <c r="RBP73" i="3"/>
  <c r="RBO73" i="3"/>
  <c r="RAZ73" i="3"/>
  <c r="RAY73" i="3"/>
  <c r="RAJ73" i="3"/>
  <c r="RAI73" i="3"/>
  <c r="QZT73" i="3"/>
  <c r="QZS73" i="3"/>
  <c r="QZD73" i="3"/>
  <c r="QZC73" i="3"/>
  <c r="QYN73" i="3"/>
  <c r="QYM73" i="3"/>
  <c r="QXX73" i="3"/>
  <c r="QXW73" i="3"/>
  <c r="QXH73" i="3"/>
  <c r="QXG73" i="3"/>
  <c r="QWR73" i="3"/>
  <c r="QWQ73" i="3"/>
  <c r="QWB73" i="3"/>
  <c r="QWA73" i="3"/>
  <c r="QVL73" i="3"/>
  <c r="QVK73" i="3"/>
  <c r="QUV73" i="3"/>
  <c r="QUU73" i="3"/>
  <c r="QUF73" i="3"/>
  <c r="QUE73" i="3"/>
  <c r="QTP73" i="3"/>
  <c r="QTO73" i="3"/>
  <c r="QSZ73" i="3"/>
  <c r="QSY73" i="3"/>
  <c r="QSJ73" i="3"/>
  <c r="QSI73" i="3"/>
  <c r="QRT73" i="3"/>
  <c r="QRS73" i="3"/>
  <c r="QRD73" i="3"/>
  <c r="QRC73" i="3"/>
  <c r="QQN73" i="3"/>
  <c r="QQM73" i="3"/>
  <c r="QPX73" i="3"/>
  <c r="QPW73" i="3"/>
  <c r="QPH73" i="3"/>
  <c r="QPG73" i="3"/>
  <c r="QOR73" i="3"/>
  <c r="QOQ73" i="3"/>
  <c r="QOB73" i="3"/>
  <c r="QOA73" i="3"/>
  <c r="QNL73" i="3"/>
  <c r="QNK73" i="3"/>
  <c r="QMV73" i="3"/>
  <c r="QMU73" i="3"/>
  <c r="QMF73" i="3"/>
  <c r="QME73" i="3"/>
  <c r="QLP73" i="3"/>
  <c r="QLO73" i="3"/>
  <c r="QKZ73" i="3"/>
  <c r="QKY73" i="3"/>
  <c r="QKJ73" i="3"/>
  <c r="QKI73" i="3"/>
  <c r="QJT73" i="3"/>
  <c r="QJS73" i="3"/>
  <c r="QJD73" i="3"/>
  <c r="QJC73" i="3"/>
  <c r="QIN73" i="3"/>
  <c r="QIM73" i="3"/>
  <c r="QHX73" i="3"/>
  <c r="QHW73" i="3"/>
  <c r="QHH73" i="3"/>
  <c r="QHG73" i="3"/>
  <c r="QGR73" i="3"/>
  <c r="QGQ73" i="3"/>
  <c r="QGB73" i="3"/>
  <c r="QGA73" i="3"/>
  <c r="QFL73" i="3"/>
  <c r="QFK73" i="3"/>
  <c r="QEV73" i="3"/>
  <c r="QEU73" i="3"/>
  <c r="QEF73" i="3"/>
  <c r="QEE73" i="3"/>
  <c r="QDP73" i="3"/>
  <c r="QDO73" i="3"/>
  <c r="QCZ73" i="3"/>
  <c r="QCY73" i="3"/>
  <c r="QCJ73" i="3"/>
  <c r="QCI73" i="3"/>
  <c r="QBT73" i="3"/>
  <c r="QBS73" i="3"/>
  <c r="QBD73" i="3"/>
  <c r="QBC73" i="3"/>
  <c r="QAN73" i="3"/>
  <c r="QAM73" i="3"/>
  <c r="PZX73" i="3"/>
  <c r="PZW73" i="3"/>
  <c r="PZH73" i="3"/>
  <c r="PZG73" i="3"/>
  <c r="PYR73" i="3"/>
  <c r="PYQ73" i="3"/>
  <c r="PYB73" i="3"/>
  <c r="PYA73" i="3"/>
  <c r="PXL73" i="3"/>
  <c r="PXK73" i="3"/>
  <c r="PWV73" i="3"/>
  <c r="PWU73" i="3"/>
  <c r="PWF73" i="3"/>
  <c r="PWE73" i="3"/>
  <c r="PVP73" i="3"/>
  <c r="PVO73" i="3"/>
  <c r="PUZ73" i="3"/>
  <c r="PUY73" i="3"/>
  <c r="PUJ73" i="3"/>
  <c r="PUI73" i="3"/>
  <c r="PTT73" i="3"/>
  <c r="PTS73" i="3"/>
  <c r="PTD73" i="3"/>
  <c r="PTC73" i="3"/>
  <c r="PSN73" i="3"/>
  <c r="PSM73" i="3"/>
  <c r="PRX73" i="3"/>
  <c r="PRW73" i="3"/>
  <c r="PRH73" i="3"/>
  <c r="PRG73" i="3"/>
  <c r="PQR73" i="3"/>
  <c r="PQQ73" i="3"/>
  <c r="PQB73" i="3"/>
  <c r="PQA73" i="3"/>
  <c r="PPL73" i="3"/>
  <c r="PPK73" i="3"/>
  <c r="POV73" i="3"/>
  <c r="POU73" i="3"/>
  <c r="POF73" i="3"/>
  <c r="POE73" i="3"/>
  <c r="PNP73" i="3"/>
  <c r="PNO73" i="3"/>
  <c r="PMZ73" i="3"/>
  <c r="PMY73" i="3"/>
  <c r="PMJ73" i="3"/>
  <c r="PMI73" i="3"/>
  <c r="PLT73" i="3"/>
  <c r="PLS73" i="3"/>
  <c r="PLD73" i="3"/>
  <c r="PLC73" i="3"/>
  <c r="PKN73" i="3"/>
  <c r="PKM73" i="3"/>
  <c r="PJX73" i="3"/>
  <c r="PJW73" i="3"/>
  <c r="PJH73" i="3"/>
  <c r="PJG73" i="3"/>
  <c r="PIR73" i="3"/>
  <c r="PIQ73" i="3"/>
  <c r="PIB73" i="3"/>
  <c r="PIA73" i="3"/>
  <c r="PHL73" i="3"/>
  <c r="PHK73" i="3"/>
  <c r="PGV73" i="3"/>
  <c r="PGU73" i="3"/>
  <c r="PGF73" i="3"/>
  <c r="PGE73" i="3"/>
  <c r="PFP73" i="3"/>
  <c r="PFO73" i="3"/>
  <c r="PEZ73" i="3"/>
  <c r="PEY73" i="3"/>
  <c r="PEJ73" i="3"/>
  <c r="PEI73" i="3"/>
  <c r="PDT73" i="3"/>
  <c r="PDS73" i="3"/>
  <c r="PDD73" i="3"/>
  <c r="PDC73" i="3"/>
  <c r="PCN73" i="3"/>
  <c r="PCM73" i="3"/>
  <c r="PBX73" i="3"/>
  <c r="PBW73" i="3"/>
  <c r="PBH73" i="3"/>
  <c r="PBG73" i="3"/>
  <c r="PAR73" i="3"/>
  <c r="PAQ73" i="3"/>
  <c r="PAB73" i="3"/>
  <c r="PAA73" i="3"/>
  <c r="OZL73" i="3"/>
  <c r="OZK73" i="3"/>
  <c r="OYV73" i="3"/>
  <c r="OYU73" i="3"/>
  <c r="OYF73" i="3"/>
  <c r="OYE73" i="3"/>
  <c r="OXP73" i="3"/>
  <c r="OXO73" i="3"/>
  <c r="OWZ73" i="3"/>
  <c r="OWY73" i="3"/>
  <c r="OWJ73" i="3"/>
  <c r="OWI73" i="3"/>
  <c r="OVT73" i="3"/>
  <c r="OVS73" i="3"/>
  <c r="OVD73" i="3"/>
  <c r="OVC73" i="3"/>
  <c r="OUN73" i="3"/>
  <c r="OUM73" i="3"/>
  <c r="OTX73" i="3"/>
  <c r="OTW73" i="3"/>
  <c r="OTH73" i="3"/>
  <c r="OTG73" i="3"/>
  <c r="OSR73" i="3"/>
  <c r="OSQ73" i="3"/>
  <c r="OSB73" i="3"/>
  <c r="OSA73" i="3"/>
  <c r="ORL73" i="3"/>
  <c r="ORK73" i="3"/>
  <c r="OQV73" i="3"/>
  <c r="OQU73" i="3"/>
  <c r="OQF73" i="3"/>
  <c r="OQE73" i="3"/>
  <c r="OPP73" i="3"/>
  <c r="OPO73" i="3"/>
  <c r="OOZ73" i="3"/>
  <c r="OOY73" i="3"/>
  <c r="OOJ73" i="3"/>
  <c r="OOI73" i="3"/>
  <c r="ONT73" i="3"/>
  <c r="ONS73" i="3"/>
  <c r="OND73" i="3"/>
  <c r="ONC73" i="3"/>
  <c r="OMN73" i="3"/>
  <c r="OMM73" i="3"/>
  <c r="OLX73" i="3"/>
  <c r="OLW73" i="3"/>
  <c r="OLH73" i="3"/>
  <c r="OLG73" i="3"/>
  <c r="OKR73" i="3"/>
  <c r="OKQ73" i="3"/>
  <c r="OKB73" i="3"/>
  <c r="OKA73" i="3"/>
  <c r="OJL73" i="3"/>
  <c r="OJK73" i="3"/>
  <c r="OIV73" i="3"/>
  <c r="OIU73" i="3"/>
  <c r="OIF73" i="3"/>
  <c r="OIE73" i="3"/>
  <c r="OHP73" i="3"/>
  <c r="OHO73" i="3"/>
  <c r="OGZ73" i="3"/>
  <c r="OGY73" i="3"/>
  <c r="OGJ73" i="3"/>
  <c r="OGI73" i="3"/>
  <c r="OFT73" i="3"/>
  <c r="OFS73" i="3"/>
  <c r="OFD73" i="3"/>
  <c r="OFC73" i="3"/>
  <c r="OEN73" i="3"/>
  <c r="OEM73" i="3"/>
  <c r="ODX73" i="3"/>
  <c r="ODW73" i="3"/>
  <c r="ODH73" i="3"/>
  <c r="ODG73" i="3"/>
  <c r="OCR73" i="3"/>
  <c r="OCQ73" i="3"/>
  <c r="OCB73" i="3"/>
  <c r="OCA73" i="3"/>
  <c r="OBL73" i="3"/>
  <c r="OBK73" i="3"/>
  <c r="OAV73" i="3"/>
  <c r="OAU73" i="3"/>
  <c r="OAF73" i="3"/>
  <c r="OAE73" i="3"/>
  <c r="NZP73" i="3"/>
  <c r="NZO73" i="3"/>
  <c r="NYZ73" i="3"/>
  <c r="NYY73" i="3"/>
  <c r="NYJ73" i="3"/>
  <c r="NYI73" i="3"/>
  <c r="NXT73" i="3"/>
  <c r="NXS73" i="3"/>
  <c r="NXD73" i="3"/>
  <c r="NXC73" i="3"/>
  <c r="NWN73" i="3"/>
  <c r="NWM73" i="3"/>
  <c r="NVX73" i="3"/>
  <c r="NVW73" i="3"/>
  <c r="NVH73" i="3"/>
  <c r="NVG73" i="3"/>
  <c r="NUR73" i="3"/>
  <c r="NUQ73" i="3"/>
  <c r="NUB73" i="3"/>
  <c r="NUA73" i="3"/>
  <c r="NTL73" i="3"/>
  <c r="NTK73" i="3"/>
  <c r="NSV73" i="3"/>
  <c r="NSU73" i="3"/>
  <c r="NSF73" i="3"/>
  <c r="NSE73" i="3"/>
  <c r="NRP73" i="3"/>
  <c r="NRO73" i="3"/>
  <c r="NQZ73" i="3"/>
  <c r="NQY73" i="3"/>
  <c r="NQJ73" i="3"/>
  <c r="NQI73" i="3"/>
  <c r="NPT73" i="3"/>
  <c r="NPS73" i="3"/>
  <c r="NPD73" i="3"/>
  <c r="NPC73" i="3"/>
  <c r="NON73" i="3"/>
  <c r="NOM73" i="3"/>
  <c r="NNX73" i="3"/>
  <c r="NNW73" i="3"/>
  <c r="NNH73" i="3"/>
  <c r="NNG73" i="3"/>
  <c r="NMR73" i="3"/>
  <c r="NMQ73" i="3"/>
  <c r="NMB73" i="3"/>
  <c r="NMA73" i="3"/>
  <c r="NLL73" i="3"/>
  <c r="NLK73" i="3"/>
  <c r="NKV73" i="3"/>
  <c r="NKU73" i="3"/>
  <c r="NKF73" i="3"/>
  <c r="NKE73" i="3"/>
  <c r="NJP73" i="3"/>
  <c r="NJO73" i="3"/>
  <c r="NIZ73" i="3"/>
  <c r="NIY73" i="3"/>
  <c r="NIJ73" i="3"/>
  <c r="NII73" i="3"/>
  <c r="NHT73" i="3"/>
  <c r="NHS73" i="3"/>
  <c r="NHD73" i="3"/>
  <c r="NHC73" i="3"/>
  <c r="NGN73" i="3"/>
  <c r="NGM73" i="3"/>
  <c r="NFX73" i="3"/>
  <c r="NFW73" i="3"/>
  <c r="NFH73" i="3"/>
  <c r="NFG73" i="3"/>
  <c r="NER73" i="3"/>
  <c r="NEQ73" i="3"/>
  <c r="NEB73" i="3"/>
  <c r="NEA73" i="3"/>
  <c r="NDL73" i="3"/>
  <c r="NDK73" i="3"/>
  <c r="NCV73" i="3"/>
  <c r="NCU73" i="3"/>
  <c r="NCF73" i="3"/>
  <c r="NCE73" i="3"/>
  <c r="NBP73" i="3"/>
  <c r="NBO73" i="3"/>
  <c r="NAZ73" i="3"/>
  <c r="NAY73" i="3"/>
  <c r="NAJ73" i="3"/>
  <c r="NAI73" i="3"/>
  <c r="MZT73" i="3"/>
  <c r="MZS73" i="3"/>
  <c r="MZD73" i="3"/>
  <c r="MZC73" i="3"/>
  <c r="MYN73" i="3"/>
  <c r="MYM73" i="3"/>
  <c r="MXX73" i="3"/>
  <c r="MXW73" i="3"/>
  <c r="MXH73" i="3"/>
  <c r="MXG73" i="3"/>
  <c r="MWR73" i="3"/>
  <c r="MWQ73" i="3"/>
  <c r="MWB73" i="3"/>
  <c r="MWA73" i="3"/>
  <c r="MVL73" i="3"/>
  <c r="MVK73" i="3"/>
  <c r="MUV73" i="3"/>
  <c r="MUU73" i="3"/>
  <c r="MUF73" i="3"/>
  <c r="MUE73" i="3"/>
  <c r="MTP73" i="3"/>
  <c r="MTO73" i="3"/>
  <c r="MSZ73" i="3"/>
  <c r="MSY73" i="3"/>
  <c r="MSJ73" i="3"/>
  <c r="MSI73" i="3"/>
  <c r="MRT73" i="3"/>
  <c r="MRS73" i="3"/>
  <c r="MRD73" i="3"/>
  <c r="MRC73" i="3"/>
  <c r="MQN73" i="3"/>
  <c r="MQM73" i="3"/>
  <c r="MPX73" i="3"/>
  <c r="MPW73" i="3"/>
  <c r="MPH73" i="3"/>
  <c r="MPG73" i="3"/>
  <c r="MOR73" i="3"/>
  <c r="MOQ73" i="3"/>
  <c r="MOB73" i="3"/>
  <c r="MOA73" i="3"/>
  <c r="MNL73" i="3"/>
  <c r="MNK73" i="3"/>
  <c r="MMV73" i="3"/>
  <c r="MMU73" i="3"/>
  <c r="MMF73" i="3"/>
  <c r="MME73" i="3"/>
  <c r="MLP73" i="3"/>
  <c r="MLO73" i="3"/>
  <c r="MKZ73" i="3"/>
  <c r="MKY73" i="3"/>
  <c r="MKJ73" i="3"/>
  <c r="MKI73" i="3"/>
  <c r="MJT73" i="3"/>
  <c r="MJS73" i="3"/>
  <c r="MJD73" i="3"/>
  <c r="MJC73" i="3"/>
  <c r="MIN73" i="3"/>
  <c r="MIM73" i="3"/>
  <c r="MHX73" i="3"/>
  <c r="MHW73" i="3"/>
  <c r="MHH73" i="3"/>
  <c r="MHG73" i="3"/>
  <c r="MGR73" i="3"/>
  <c r="MGQ73" i="3"/>
  <c r="MGB73" i="3"/>
  <c r="MGA73" i="3"/>
  <c r="MFL73" i="3"/>
  <c r="MFK73" i="3"/>
  <c r="MEV73" i="3"/>
  <c r="MEU73" i="3"/>
  <c r="MEF73" i="3"/>
  <c r="MEE73" i="3"/>
  <c r="MDP73" i="3"/>
  <c r="MDO73" i="3"/>
  <c r="MCZ73" i="3"/>
  <c r="MCY73" i="3"/>
  <c r="MCJ73" i="3"/>
  <c r="MCI73" i="3"/>
  <c r="MBT73" i="3"/>
  <c r="MBS73" i="3"/>
  <c r="MBD73" i="3"/>
  <c r="MBC73" i="3"/>
  <c r="MAN73" i="3"/>
  <c r="MAM73" i="3"/>
  <c r="LZX73" i="3"/>
  <c r="LZW73" i="3"/>
  <c r="LZH73" i="3"/>
  <c r="LZG73" i="3"/>
  <c r="LYR73" i="3"/>
  <c r="LYQ73" i="3"/>
  <c r="LYB73" i="3"/>
  <c r="LYA73" i="3"/>
  <c r="LXL73" i="3"/>
  <c r="LXK73" i="3"/>
  <c r="LWV73" i="3"/>
  <c r="LWU73" i="3"/>
  <c r="LWF73" i="3"/>
  <c r="LWE73" i="3"/>
  <c r="LVP73" i="3"/>
  <c r="LVO73" i="3"/>
  <c r="LUZ73" i="3"/>
  <c r="LUY73" i="3"/>
  <c r="LUJ73" i="3"/>
  <c r="LUI73" i="3"/>
  <c r="LTT73" i="3"/>
  <c r="LTS73" i="3"/>
  <c r="LTD73" i="3"/>
  <c r="LTC73" i="3"/>
  <c r="LSN73" i="3"/>
  <c r="LSM73" i="3"/>
  <c r="LRX73" i="3"/>
  <c r="LRW73" i="3"/>
  <c r="LRH73" i="3"/>
  <c r="LRG73" i="3"/>
  <c r="LQR73" i="3"/>
  <c r="LQQ73" i="3"/>
  <c r="LQB73" i="3"/>
  <c r="LQA73" i="3"/>
  <c r="LPL73" i="3"/>
  <c r="LPK73" i="3"/>
  <c r="LOV73" i="3"/>
  <c r="LOU73" i="3"/>
  <c r="LOF73" i="3"/>
  <c r="LOE73" i="3"/>
  <c r="LNP73" i="3"/>
  <c r="LNO73" i="3"/>
  <c r="LMZ73" i="3"/>
  <c r="LMY73" i="3"/>
  <c r="LMJ73" i="3"/>
  <c r="LMI73" i="3"/>
  <c r="LLT73" i="3"/>
  <c r="LLS73" i="3"/>
  <c r="LLD73" i="3"/>
  <c r="LLC73" i="3"/>
  <c r="LKN73" i="3"/>
  <c r="LKM73" i="3"/>
  <c r="LJX73" i="3"/>
  <c r="LJW73" i="3"/>
  <c r="LJH73" i="3"/>
  <c r="LJG73" i="3"/>
  <c r="LIR73" i="3"/>
  <c r="LIQ73" i="3"/>
  <c r="LIB73" i="3"/>
  <c r="LIA73" i="3"/>
  <c r="LHL73" i="3"/>
  <c r="LHK73" i="3"/>
  <c r="LGV73" i="3"/>
  <c r="LGU73" i="3"/>
  <c r="LGF73" i="3"/>
  <c r="LGE73" i="3"/>
  <c r="LFP73" i="3"/>
  <c r="LFO73" i="3"/>
  <c r="LEZ73" i="3"/>
  <c r="LEY73" i="3"/>
  <c r="LEJ73" i="3"/>
  <c r="LEI73" i="3"/>
  <c r="LDT73" i="3"/>
  <c r="LDS73" i="3"/>
  <c r="LDD73" i="3"/>
  <c r="LDC73" i="3"/>
  <c r="LCN73" i="3"/>
  <c r="LCM73" i="3"/>
  <c r="LBX73" i="3"/>
  <c r="LBW73" i="3"/>
  <c r="LBH73" i="3"/>
  <c r="LBG73" i="3"/>
  <c r="LAR73" i="3"/>
  <c r="LAQ73" i="3"/>
  <c r="LAB73" i="3"/>
  <c r="LAA73" i="3"/>
  <c r="KZL73" i="3"/>
  <c r="KZK73" i="3"/>
  <c r="KYV73" i="3"/>
  <c r="KYU73" i="3"/>
  <c r="KYF73" i="3"/>
  <c r="KYE73" i="3"/>
  <c r="KXP73" i="3"/>
  <c r="KXO73" i="3"/>
  <c r="KWZ73" i="3"/>
  <c r="KWY73" i="3"/>
  <c r="KWJ73" i="3"/>
  <c r="KWI73" i="3"/>
  <c r="KVT73" i="3"/>
  <c r="KVS73" i="3"/>
  <c r="KVD73" i="3"/>
  <c r="KVC73" i="3"/>
  <c r="KUN73" i="3"/>
  <c r="KUM73" i="3"/>
  <c r="KTX73" i="3"/>
  <c r="KTW73" i="3"/>
  <c r="KTH73" i="3"/>
  <c r="KTG73" i="3"/>
  <c r="KSR73" i="3"/>
  <c r="KSQ73" i="3"/>
  <c r="KSB73" i="3"/>
  <c r="KSA73" i="3"/>
  <c r="KRL73" i="3"/>
  <c r="KRK73" i="3"/>
  <c r="KQV73" i="3"/>
  <c r="KQU73" i="3"/>
  <c r="KQF73" i="3"/>
  <c r="KQE73" i="3"/>
  <c r="KPP73" i="3"/>
  <c r="KPO73" i="3"/>
  <c r="KOZ73" i="3"/>
  <c r="KOY73" i="3"/>
  <c r="KOJ73" i="3"/>
  <c r="KOI73" i="3"/>
  <c r="KNT73" i="3"/>
  <c r="KNS73" i="3"/>
  <c r="KND73" i="3"/>
  <c r="KNC73" i="3"/>
  <c r="KMN73" i="3"/>
  <c r="KMM73" i="3"/>
  <c r="KLX73" i="3"/>
  <c r="KLW73" i="3"/>
  <c r="KLH73" i="3"/>
  <c r="KLG73" i="3"/>
  <c r="KKR73" i="3"/>
  <c r="KKQ73" i="3"/>
  <c r="KKB73" i="3"/>
  <c r="KKA73" i="3"/>
  <c r="KJL73" i="3"/>
  <c r="KJK73" i="3"/>
  <c r="KIV73" i="3"/>
  <c r="KIU73" i="3"/>
  <c r="KIF73" i="3"/>
  <c r="KIE73" i="3"/>
  <c r="KHP73" i="3"/>
  <c r="KHO73" i="3"/>
  <c r="KGZ73" i="3"/>
  <c r="KGY73" i="3"/>
  <c r="KGJ73" i="3"/>
  <c r="KGI73" i="3"/>
  <c r="KFT73" i="3"/>
  <c r="KFS73" i="3"/>
  <c r="KFD73" i="3"/>
  <c r="KFC73" i="3"/>
  <c r="KEN73" i="3"/>
  <c r="KEM73" i="3"/>
  <c r="KDX73" i="3"/>
  <c r="KDW73" i="3"/>
  <c r="KDH73" i="3"/>
  <c r="KDG73" i="3"/>
  <c r="KCR73" i="3"/>
  <c r="KCQ73" i="3"/>
  <c r="KCB73" i="3"/>
  <c r="KCA73" i="3"/>
  <c r="KBL73" i="3"/>
  <c r="KBK73" i="3"/>
  <c r="KAV73" i="3"/>
  <c r="KAU73" i="3"/>
  <c r="KAF73" i="3"/>
  <c r="KAE73" i="3"/>
  <c r="JZP73" i="3"/>
  <c r="JZO73" i="3"/>
  <c r="JYZ73" i="3"/>
  <c r="JYY73" i="3"/>
  <c r="JYJ73" i="3"/>
  <c r="JYI73" i="3"/>
  <c r="JXT73" i="3"/>
  <c r="JXS73" i="3"/>
  <c r="JXD73" i="3"/>
  <c r="JXC73" i="3"/>
  <c r="JWN73" i="3"/>
  <c r="JWM73" i="3"/>
  <c r="JVX73" i="3"/>
  <c r="JVW73" i="3"/>
  <c r="JVH73" i="3"/>
  <c r="JVG73" i="3"/>
  <c r="JUR73" i="3"/>
  <c r="JUQ73" i="3"/>
  <c r="JUB73" i="3"/>
  <c r="JUA73" i="3"/>
  <c r="JTL73" i="3"/>
  <c r="JTK73" i="3"/>
  <c r="JSV73" i="3"/>
  <c r="JSU73" i="3"/>
  <c r="JSF73" i="3"/>
  <c r="JSE73" i="3"/>
  <c r="JRP73" i="3"/>
  <c r="JRO73" i="3"/>
  <c r="JQZ73" i="3"/>
  <c r="JQY73" i="3"/>
  <c r="JQJ73" i="3"/>
  <c r="JQI73" i="3"/>
  <c r="JPT73" i="3"/>
  <c r="JPS73" i="3"/>
  <c r="JPD73" i="3"/>
  <c r="JPC73" i="3"/>
  <c r="JON73" i="3"/>
  <c r="JOM73" i="3"/>
  <c r="JNX73" i="3"/>
  <c r="JNW73" i="3"/>
  <c r="JNH73" i="3"/>
  <c r="JNG73" i="3"/>
  <c r="JMR73" i="3"/>
  <c r="JMQ73" i="3"/>
  <c r="JMB73" i="3"/>
  <c r="JMA73" i="3"/>
  <c r="JLL73" i="3"/>
  <c r="JLK73" i="3"/>
  <c r="JKV73" i="3"/>
  <c r="JKU73" i="3"/>
  <c r="JKF73" i="3"/>
  <c r="JKE73" i="3"/>
  <c r="JJP73" i="3"/>
  <c r="JJO73" i="3"/>
  <c r="JIZ73" i="3"/>
  <c r="JIY73" i="3"/>
  <c r="JIJ73" i="3"/>
  <c r="JII73" i="3"/>
  <c r="JHT73" i="3"/>
  <c r="JHS73" i="3"/>
  <c r="JHD73" i="3"/>
  <c r="JHC73" i="3"/>
  <c r="JGN73" i="3"/>
  <c r="JGM73" i="3"/>
  <c r="JFX73" i="3"/>
  <c r="JFW73" i="3"/>
  <c r="JFH73" i="3"/>
  <c r="JFG73" i="3"/>
  <c r="JER73" i="3"/>
  <c r="JEQ73" i="3"/>
  <c r="JEB73" i="3"/>
  <c r="JEA73" i="3"/>
  <c r="JDL73" i="3"/>
  <c r="JDK73" i="3"/>
  <c r="JCV73" i="3"/>
  <c r="JCU73" i="3"/>
  <c r="JCF73" i="3"/>
  <c r="JCE73" i="3"/>
  <c r="JBP73" i="3"/>
  <c r="JBO73" i="3"/>
  <c r="JAZ73" i="3"/>
  <c r="JAY73" i="3"/>
  <c r="JAJ73" i="3"/>
  <c r="JAI73" i="3"/>
  <c r="IZT73" i="3"/>
  <c r="IZS73" i="3"/>
  <c r="IZD73" i="3"/>
  <c r="IZC73" i="3"/>
  <c r="IYN73" i="3"/>
  <c r="IYM73" i="3"/>
  <c r="IXX73" i="3"/>
  <c r="IXW73" i="3"/>
  <c r="IXH73" i="3"/>
  <c r="IXG73" i="3"/>
  <c r="IWR73" i="3"/>
  <c r="IWQ73" i="3"/>
  <c r="IWB73" i="3"/>
  <c r="IWA73" i="3"/>
  <c r="IVL73" i="3"/>
  <c r="IVK73" i="3"/>
  <c r="IUV73" i="3"/>
  <c r="IUU73" i="3"/>
  <c r="IUF73" i="3"/>
  <c r="IUE73" i="3"/>
  <c r="ITP73" i="3"/>
  <c r="ITO73" i="3"/>
  <c r="ISZ73" i="3"/>
  <c r="ISY73" i="3"/>
  <c r="ISJ73" i="3"/>
  <c r="ISI73" i="3"/>
  <c r="IRT73" i="3"/>
  <c r="IRS73" i="3"/>
  <c r="IRD73" i="3"/>
  <c r="IRC73" i="3"/>
  <c r="IQN73" i="3"/>
  <c r="IQM73" i="3"/>
  <c r="IPX73" i="3"/>
  <c r="IPW73" i="3"/>
  <c r="IPH73" i="3"/>
  <c r="IPG73" i="3"/>
  <c r="IOR73" i="3"/>
  <c r="IOQ73" i="3"/>
  <c r="IOB73" i="3"/>
  <c r="IOA73" i="3"/>
  <c r="INL73" i="3"/>
  <c r="INK73" i="3"/>
  <c r="IMV73" i="3"/>
  <c r="IMU73" i="3"/>
  <c r="IMF73" i="3"/>
  <c r="IME73" i="3"/>
  <c r="ILP73" i="3"/>
  <c r="ILO73" i="3"/>
  <c r="IKZ73" i="3"/>
  <c r="IKY73" i="3"/>
  <c r="IKJ73" i="3"/>
  <c r="IKI73" i="3"/>
  <c r="IJT73" i="3"/>
  <c r="IJS73" i="3"/>
  <c r="IJD73" i="3"/>
  <c r="IJC73" i="3"/>
  <c r="IIN73" i="3"/>
  <c r="IIM73" i="3"/>
  <c r="IHX73" i="3"/>
  <c r="IHW73" i="3"/>
  <c r="IHH73" i="3"/>
  <c r="IHG73" i="3"/>
  <c r="IGR73" i="3"/>
  <c r="IGQ73" i="3"/>
  <c r="IGB73" i="3"/>
  <c r="IGA73" i="3"/>
  <c r="IFL73" i="3"/>
  <c r="IFK73" i="3"/>
  <c r="IEV73" i="3"/>
  <c r="IEU73" i="3"/>
  <c r="IEF73" i="3"/>
  <c r="IEE73" i="3"/>
  <c r="IDP73" i="3"/>
  <c r="IDO73" i="3"/>
  <c r="ICZ73" i="3"/>
  <c r="ICY73" i="3"/>
  <c r="ICJ73" i="3"/>
  <c r="ICI73" i="3"/>
  <c r="IBT73" i="3"/>
  <c r="IBS73" i="3"/>
  <c r="IBD73" i="3"/>
  <c r="IBC73" i="3"/>
  <c r="IAN73" i="3"/>
  <c r="IAM73" i="3"/>
  <c r="HZX73" i="3"/>
  <c r="HZW73" i="3"/>
  <c r="HZH73" i="3"/>
  <c r="HZG73" i="3"/>
  <c r="HYR73" i="3"/>
  <c r="HYQ73" i="3"/>
  <c r="HYB73" i="3"/>
  <c r="HYA73" i="3"/>
  <c r="HXL73" i="3"/>
  <c r="HXK73" i="3"/>
  <c r="HWV73" i="3"/>
  <c r="HWU73" i="3"/>
  <c r="HWF73" i="3"/>
  <c r="HWE73" i="3"/>
  <c r="HVP73" i="3"/>
  <c r="HVO73" i="3"/>
  <c r="HUZ73" i="3"/>
  <c r="HUY73" i="3"/>
  <c r="HUJ73" i="3"/>
  <c r="HUI73" i="3"/>
  <c r="HTT73" i="3"/>
  <c r="HTS73" i="3"/>
  <c r="HTD73" i="3"/>
  <c r="HTC73" i="3"/>
  <c r="HSN73" i="3"/>
  <c r="HSM73" i="3"/>
  <c r="HRX73" i="3"/>
  <c r="HRW73" i="3"/>
  <c r="HRH73" i="3"/>
  <c r="HRG73" i="3"/>
  <c r="HQR73" i="3"/>
  <c r="HQQ73" i="3"/>
  <c r="HQB73" i="3"/>
  <c r="HQA73" i="3"/>
  <c r="HPL73" i="3"/>
  <c r="HPK73" i="3"/>
  <c r="HOV73" i="3"/>
  <c r="HOU73" i="3"/>
  <c r="HOF73" i="3"/>
  <c r="HOE73" i="3"/>
  <c r="HNP73" i="3"/>
  <c r="HNO73" i="3"/>
  <c r="HMZ73" i="3"/>
  <c r="HMY73" i="3"/>
  <c r="HMJ73" i="3"/>
  <c r="HMI73" i="3"/>
  <c r="HLT73" i="3"/>
  <c r="HLS73" i="3"/>
  <c r="HLD73" i="3"/>
  <c r="HLC73" i="3"/>
  <c r="HKN73" i="3"/>
  <c r="HKM73" i="3"/>
  <c r="HJX73" i="3"/>
  <c r="HJW73" i="3"/>
  <c r="HJH73" i="3"/>
  <c r="HJG73" i="3"/>
  <c r="HIR73" i="3"/>
  <c r="HIQ73" i="3"/>
  <c r="HIB73" i="3"/>
  <c r="HIA73" i="3"/>
  <c r="HHL73" i="3"/>
  <c r="HHK73" i="3"/>
  <c r="HGV73" i="3"/>
  <c r="HGU73" i="3"/>
  <c r="HGF73" i="3"/>
  <c r="HGE73" i="3"/>
  <c r="HFP73" i="3"/>
  <c r="HFO73" i="3"/>
  <c r="HEZ73" i="3"/>
  <c r="HEY73" i="3"/>
  <c r="HEJ73" i="3"/>
  <c r="HEI73" i="3"/>
  <c r="HDT73" i="3"/>
  <c r="HDS73" i="3"/>
  <c r="HDD73" i="3"/>
  <c r="HDC73" i="3"/>
  <c r="HCN73" i="3"/>
  <c r="HCM73" i="3"/>
  <c r="HBX73" i="3"/>
  <c r="HBW73" i="3"/>
  <c r="HBH73" i="3"/>
  <c r="HBG73" i="3"/>
  <c r="HAR73" i="3"/>
  <c r="HAQ73" i="3"/>
  <c r="HAB73" i="3"/>
  <c r="HAA73" i="3"/>
  <c r="GZL73" i="3"/>
  <c r="GZK73" i="3"/>
  <c r="GYV73" i="3"/>
  <c r="GYU73" i="3"/>
  <c r="GYF73" i="3"/>
  <c r="GYE73" i="3"/>
  <c r="GXP73" i="3"/>
  <c r="GXO73" i="3"/>
  <c r="GWZ73" i="3"/>
  <c r="GWY73" i="3"/>
  <c r="GWJ73" i="3"/>
  <c r="GWI73" i="3"/>
  <c r="GVT73" i="3"/>
  <c r="GVS73" i="3"/>
  <c r="GVD73" i="3"/>
  <c r="GVC73" i="3"/>
  <c r="GUN73" i="3"/>
  <c r="GUM73" i="3"/>
  <c r="GTX73" i="3"/>
  <c r="GTW73" i="3"/>
  <c r="GTH73" i="3"/>
  <c r="GTG73" i="3"/>
  <c r="GSR73" i="3"/>
  <c r="GSQ73" i="3"/>
  <c r="GSB73" i="3"/>
  <c r="GSA73" i="3"/>
  <c r="GRL73" i="3"/>
  <c r="GRK73" i="3"/>
  <c r="GQV73" i="3"/>
  <c r="GQU73" i="3"/>
  <c r="GQF73" i="3"/>
  <c r="GQE73" i="3"/>
  <c r="GPP73" i="3"/>
  <c r="GPO73" i="3"/>
  <c r="GOZ73" i="3"/>
  <c r="GOY73" i="3"/>
  <c r="GOJ73" i="3"/>
  <c r="GOI73" i="3"/>
  <c r="GNT73" i="3"/>
  <c r="GNS73" i="3"/>
  <c r="GND73" i="3"/>
  <c r="GNC73" i="3"/>
  <c r="GMN73" i="3"/>
  <c r="GMM73" i="3"/>
  <c r="GLX73" i="3"/>
  <c r="GLW73" i="3"/>
  <c r="GLH73" i="3"/>
  <c r="GLG73" i="3"/>
  <c r="GKR73" i="3"/>
  <c r="GKQ73" i="3"/>
  <c r="GKB73" i="3"/>
  <c r="GKA73" i="3"/>
  <c r="GJL73" i="3"/>
  <c r="GJK73" i="3"/>
  <c r="GIV73" i="3"/>
  <c r="GIU73" i="3"/>
  <c r="GIF73" i="3"/>
  <c r="GIE73" i="3"/>
  <c r="GHP73" i="3"/>
  <c r="GHO73" i="3"/>
  <c r="GGZ73" i="3"/>
  <c r="GGY73" i="3"/>
  <c r="GGJ73" i="3"/>
  <c r="GGI73" i="3"/>
  <c r="GFT73" i="3"/>
  <c r="GFS73" i="3"/>
  <c r="GFD73" i="3"/>
  <c r="GFC73" i="3"/>
  <c r="GEN73" i="3"/>
  <c r="GEM73" i="3"/>
  <c r="GDX73" i="3"/>
  <c r="GDW73" i="3"/>
  <c r="GDH73" i="3"/>
  <c r="GDG73" i="3"/>
  <c r="GCR73" i="3"/>
  <c r="GCQ73" i="3"/>
  <c r="GCB73" i="3"/>
  <c r="GCA73" i="3"/>
  <c r="GBL73" i="3"/>
  <c r="GBK73" i="3"/>
  <c r="GAV73" i="3"/>
  <c r="GAU73" i="3"/>
  <c r="GAF73" i="3"/>
  <c r="GAE73" i="3"/>
  <c r="FZP73" i="3"/>
  <c r="FZO73" i="3"/>
  <c r="FYZ73" i="3"/>
  <c r="FYY73" i="3"/>
  <c r="FYJ73" i="3"/>
  <c r="FYI73" i="3"/>
  <c r="FXT73" i="3"/>
  <c r="FXS73" i="3"/>
  <c r="FXD73" i="3"/>
  <c r="FXC73" i="3"/>
  <c r="FWN73" i="3"/>
  <c r="FWM73" i="3"/>
  <c r="FVX73" i="3"/>
  <c r="FVW73" i="3"/>
  <c r="FVH73" i="3"/>
  <c r="FVG73" i="3"/>
  <c r="FUR73" i="3"/>
  <c r="FUQ73" i="3"/>
  <c r="FUB73" i="3"/>
  <c r="FUA73" i="3"/>
  <c r="FTL73" i="3"/>
  <c r="FTK73" i="3"/>
  <c r="FSV73" i="3"/>
  <c r="FSU73" i="3"/>
  <c r="FSF73" i="3"/>
  <c r="FSE73" i="3"/>
  <c r="FRP73" i="3"/>
  <c r="FRO73" i="3"/>
  <c r="FQZ73" i="3"/>
  <c r="FQY73" i="3"/>
  <c r="FQJ73" i="3"/>
  <c r="FQI73" i="3"/>
  <c r="FPT73" i="3"/>
  <c r="FPS73" i="3"/>
  <c r="FPD73" i="3"/>
  <c r="FPC73" i="3"/>
  <c r="FON73" i="3"/>
  <c r="FOM73" i="3"/>
  <c r="FNX73" i="3"/>
  <c r="FNW73" i="3"/>
  <c r="FNH73" i="3"/>
  <c r="FNG73" i="3"/>
  <c r="FMR73" i="3"/>
  <c r="FMQ73" i="3"/>
  <c r="FMB73" i="3"/>
  <c r="FMA73" i="3"/>
  <c r="FLL73" i="3"/>
  <c r="FLK73" i="3"/>
  <c r="FKV73" i="3"/>
  <c r="FKU73" i="3"/>
  <c r="FKF73" i="3"/>
  <c r="FKE73" i="3"/>
  <c r="FJP73" i="3"/>
  <c r="FJO73" i="3"/>
  <c r="FIZ73" i="3"/>
  <c r="FIY73" i="3"/>
  <c r="FIJ73" i="3"/>
  <c r="FII73" i="3"/>
  <c r="FHT73" i="3"/>
  <c r="FHS73" i="3"/>
  <c r="FHD73" i="3"/>
  <c r="FHC73" i="3"/>
  <c r="FGN73" i="3"/>
  <c r="FGM73" i="3"/>
  <c r="FFX73" i="3"/>
  <c r="FFW73" i="3"/>
  <c r="FFH73" i="3"/>
  <c r="FFG73" i="3"/>
  <c r="FER73" i="3"/>
  <c r="FEQ73" i="3"/>
  <c r="FEB73" i="3"/>
  <c r="FEA73" i="3"/>
  <c r="FDL73" i="3"/>
  <c r="FDK73" i="3"/>
  <c r="FCV73" i="3"/>
  <c r="FCU73" i="3"/>
  <c r="FCF73" i="3"/>
  <c r="FCE73" i="3"/>
  <c r="FBP73" i="3"/>
  <c r="FBO73" i="3"/>
  <c r="FAZ73" i="3"/>
  <c r="FAY73" i="3"/>
  <c r="FAJ73" i="3"/>
  <c r="FAI73" i="3"/>
  <c r="EZT73" i="3"/>
  <c r="EZS73" i="3"/>
  <c r="EZD73" i="3"/>
  <c r="EZC73" i="3"/>
  <c r="EYN73" i="3"/>
  <c r="EYM73" i="3"/>
  <c r="EXX73" i="3"/>
  <c r="EXW73" i="3"/>
  <c r="EXH73" i="3"/>
  <c r="EXG73" i="3"/>
  <c r="EWR73" i="3"/>
  <c r="EWQ73" i="3"/>
  <c r="EWB73" i="3"/>
  <c r="EWA73" i="3"/>
  <c r="EVL73" i="3"/>
  <c r="EVK73" i="3"/>
  <c r="EUV73" i="3"/>
  <c r="EUU73" i="3"/>
  <c r="EUF73" i="3"/>
  <c r="EUE73" i="3"/>
  <c r="ETP73" i="3"/>
  <c r="ETO73" i="3"/>
  <c r="ESZ73" i="3"/>
  <c r="ESY73" i="3"/>
  <c r="ESJ73" i="3"/>
  <c r="ESI73" i="3"/>
  <c r="ERT73" i="3"/>
  <c r="ERS73" i="3"/>
  <c r="ERD73" i="3"/>
  <c r="ERC73" i="3"/>
  <c r="EQN73" i="3"/>
  <c r="EQM73" i="3"/>
  <c r="EPX73" i="3"/>
  <c r="EPW73" i="3"/>
  <c r="EPH73" i="3"/>
  <c r="EPG73" i="3"/>
  <c r="EOR73" i="3"/>
  <c r="EOQ73" i="3"/>
  <c r="EOB73" i="3"/>
  <c r="EOA73" i="3"/>
  <c r="ENL73" i="3"/>
  <c r="ENK73" i="3"/>
  <c r="EMV73" i="3"/>
  <c r="EMU73" i="3"/>
  <c r="EMF73" i="3"/>
  <c r="EME73" i="3"/>
  <c r="ELP73" i="3"/>
  <c r="ELO73" i="3"/>
  <c r="EKZ73" i="3"/>
  <c r="EKY73" i="3"/>
  <c r="EKJ73" i="3"/>
  <c r="EKI73" i="3"/>
  <c r="EJT73" i="3"/>
  <c r="EJS73" i="3"/>
  <c r="EJD73" i="3"/>
  <c r="EJC73" i="3"/>
  <c r="EIN73" i="3"/>
  <c r="EIM73" i="3"/>
  <c r="EHX73" i="3"/>
  <c r="EHW73" i="3"/>
  <c r="EHH73" i="3"/>
  <c r="EHG73" i="3"/>
  <c r="EGR73" i="3"/>
  <c r="EGQ73" i="3"/>
  <c r="EGB73" i="3"/>
  <c r="EGA73" i="3"/>
  <c r="EFL73" i="3"/>
  <c r="EFK73" i="3"/>
  <c r="EEV73" i="3"/>
  <c r="EEU73" i="3"/>
  <c r="EEF73" i="3"/>
  <c r="EEE73" i="3"/>
  <c r="EDP73" i="3"/>
  <c r="EDO73" i="3"/>
  <c r="ECZ73" i="3"/>
  <c r="ECY73" i="3"/>
  <c r="ECJ73" i="3"/>
  <c r="ECI73" i="3"/>
  <c r="EBT73" i="3"/>
  <c r="EBS73" i="3"/>
  <c r="EBD73" i="3"/>
  <c r="EBC73" i="3"/>
  <c r="EAN73" i="3"/>
  <c r="EAM73" i="3"/>
  <c r="DZX73" i="3"/>
  <c r="DZW73" i="3"/>
  <c r="DZH73" i="3"/>
  <c r="DZG73" i="3"/>
  <c r="DYR73" i="3"/>
  <c r="DYQ73" i="3"/>
  <c r="DYB73" i="3"/>
  <c r="DYA73" i="3"/>
  <c r="DXL73" i="3"/>
  <c r="DXK73" i="3"/>
  <c r="DWV73" i="3"/>
  <c r="DWU73" i="3"/>
  <c r="DWF73" i="3"/>
  <c r="DWE73" i="3"/>
  <c r="DVP73" i="3"/>
  <c r="DVO73" i="3"/>
  <c r="DUZ73" i="3"/>
  <c r="DUY73" i="3"/>
  <c r="DUJ73" i="3"/>
  <c r="DUI73" i="3"/>
  <c r="DTT73" i="3"/>
  <c r="DTS73" i="3"/>
  <c r="DTD73" i="3"/>
  <c r="DTC73" i="3"/>
  <c r="DSN73" i="3"/>
  <c r="DSM73" i="3"/>
  <c r="DRX73" i="3"/>
  <c r="DRW73" i="3"/>
  <c r="DRH73" i="3"/>
  <c r="DRG73" i="3"/>
  <c r="DQR73" i="3"/>
  <c r="DQQ73" i="3"/>
  <c r="DQB73" i="3"/>
  <c r="DQA73" i="3"/>
  <c r="DPL73" i="3"/>
  <c r="DPK73" i="3"/>
  <c r="DOV73" i="3"/>
  <c r="DOU73" i="3"/>
  <c r="DOF73" i="3"/>
  <c r="DOE73" i="3"/>
  <c r="DNP73" i="3"/>
  <c r="DNO73" i="3"/>
  <c r="DMZ73" i="3"/>
  <c r="DMY73" i="3"/>
  <c r="DMJ73" i="3"/>
  <c r="DMI73" i="3"/>
  <c r="DLT73" i="3"/>
  <c r="DLS73" i="3"/>
  <c r="DLD73" i="3"/>
  <c r="DLC73" i="3"/>
  <c r="DKN73" i="3"/>
  <c r="DKM73" i="3"/>
  <c r="DJX73" i="3"/>
  <c r="DJW73" i="3"/>
  <c r="DJH73" i="3"/>
  <c r="DJG73" i="3"/>
  <c r="DIR73" i="3"/>
  <c r="DIQ73" i="3"/>
  <c r="DIB73" i="3"/>
  <c r="DIA73" i="3"/>
  <c r="DHL73" i="3"/>
  <c r="DHK73" i="3"/>
  <c r="DGV73" i="3"/>
  <c r="DGU73" i="3"/>
  <c r="DGF73" i="3"/>
  <c r="DGE73" i="3"/>
  <c r="DFP73" i="3"/>
  <c r="DFO73" i="3"/>
  <c r="DEZ73" i="3"/>
  <c r="DEY73" i="3"/>
  <c r="DEJ73" i="3"/>
  <c r="DEI73" i="3"/>
  <c r="DDT73" i="3"/>
  <c r="DDS73" i="3"/>
  <c r="DDD73" i="3"/>
  <c r="DDC73" i="3"/>
  <c r="DCN73" i="3"/>
  <c r="DCM73" i="3"/>
  <c r="DBX73" i="3"/>
  <c r="DBW73" i="3"/>
  <c r="DBH73" i="3"/>
  <c r="DBG73" i="3"/>
  <c r="DAR73" i="3"/>
  <c r="DAQ73" i="3"/>
  <c r="DAB73" i="3"/>
  <c r="DAA73" i="3"/>
  <c r="CZL73" i="3"/>
  <c r="CZK73" i="3"/>
  <c r="CYV73" i="3"/>
  <c r="CYU73" i="3"/>
  <c r="CYF73" i="3"/>
  <c r="CYE73" i="3"/>
  <c r="CXP73" i="3"/>
  <c r="CXO73" i="3"/>
  <c r="CWZ73" i="3"/>
  <c r="CWY73" i="3"/>
  <c r="CWJ73" i="3"/>
  <c r="CWI73" i="3"/>
  <c r="CVT73" i="3"/>
  <c r="CVS73" i="3"/>
  <c r="CVD73" i="3"/>
  <c r="CVC73" i="3"/>
  <c r="CUN73" i="3"/>
  <c r="CUM73" i="3"/>
  <c r="CTX73" i="3"/>
  <c r="CTW73" i="3"/>
  <c r="CTH73" i="3"/>
  <c r="CTG73" i="3"/>
  <c r="CSR73" i="3"/>
  <c r="CSQ73" i="3"/>
  <c r="CSB73" i="3"/>
  <c r="CSA73" i="3"/>
  <c r="CRL73" i="3"/>
  <c r="CRK73" i="3"/>
  <c r="CQV73" i="3"/>
  <c r="CQU73" i="3"/>
  <c r="CQF73" i="3"/>
  <c r="CQE73" i="3"/>
  <c r="CPP73" i="3"/>
  <c r="CPO73" i="3"/>
  <c r="COZ73" i="3"/>
  <c r="COY73" i="3"/>
  <c r="COJ73" i="3"/>
  <c r="COI73" i="3"/>
  <c r="CNT73" i="3"/>
  <c r="CNS73" i="3"/>
  <c r="CND73" i="3"/>
  <c r="CNC73" i="3"/>
  <c r="CMN73" i="3"/>
  <c r="CMM73" i="3"/>
  <c r="CLX73" i="3"/>
  <c r="CLW73" i="3"/>
  <c r="CLH73" i="3"/>
  <c r="CLG73" i="3"/>
  <c r="CKR73" i="3"/>
  <c r="CKQ73" i="3"/>
  <c r="CKB73" i="3"/>
  <c r="CKA73" i="3"/>
  <c r="CJL73" i="3"/>
  <c r="CJK73" i="3"/>
  <c r="CIV73" i="3"/>
  <c r="CIU73" i="3"/>
  <c r="CIF73" i="3"/>
  <c r="CIE73" i="3"/>
  <c r="CHP73" i="3"/>
  <c r="CHO73" i="3"/>
  <c r="CGZ73" i="3"/>
  <c r="CGY73" i="3"/>
  <c r="CGJ73" i="3"/>
  <c r="CGI73" i="3"/>
  <c r="CFT73" i="3"/>
  <c r="CFS73" i="3"/>
  <c r="CFD73" i="3"/>
  <c r="CFC73" i="3"/>
  <c r="CEN73" i="3"/>
  <c r="CEM73" i="3"/>
  <c r="CDX73" i="3"/>
  <c r="CDW73" i="3"/>
  <c r="CDH73" i="3"/>
  <c r="CDG73" i="3"/>
  <c r="CCR73" i="3"/>
  <c r="CCQ73" i="3"/>
  <c r="CCB73" i="3"/>
  <c r="CCA73" i="3"/>
  <c r="CBL73" i="3"/>
  <c r="CBK73" i="3"/>
  <c r="CAV73" i="3"/>
  <c r="CAU73" i="3"/>
  <c r="CAF73" i="3"/>
  <c r="CAE73" i="3"/>
  <c r="BZP73" i="3"/>
  <c r="BZO73" i="3"/>
  <c r="BYZ73" i="3"/>
  <c r="BYY73" i="3"/>
  <c r="BYJ73" i="3"/>
  <c r="BYI73" i="3"/>
  <c r="BXT73" i="3"/>
  <c r="BXS73" i="3"/>
  <c r="BXD73" i="3"/>
  <c r="BXC73" i="3"/>
  <c r="BWN73" i="3"/>
  <c r="BWM73" i="3"/>
  <c r="BVX73" i="3"/>
  <c r="BVW73" i="3"/>
  <c r="BVH73" i="3"/>
  <c r="BVG73" i="3"/>
  <c r="BUR73" i="3"/>
  <c r="BUQ73" i="3"/>
  <c r="BUB73" i="3"/>
  <c r="BUA73" i="3"/>
  <c r="BTL73" i="3"/>
  <c r="BTK73" i="3"/>
  <c r="BSV73" i="3"/>
  <c r="BSU73" i="3"/>
  <c r="BSF73" i="3"/>
  <c r="BSE73" i="3"/>
  <c r="BRP73" i="3"/>
  <c r="BRO73" i="3"/>
  <c r="BQZ73" i="3"/>
  <c r="BQY73" i="3"/>
  <c r="BQJ73" i="3"/>
  <c r="BQI73" i="3"/>
  <c r="BPT73" i="3"/>
  <c r="BPS73" i="3"/>
  <c r="BPD73" i="3"/>
  <c r="BPC73" i="3"/>
  <c r="BON73" i="3"/>
  <c r="BOM73" i="3"/>
  <c r="BNX73" i="3"/>
  <c r="BNW73" i="3"/>
  <c r="BNH73" i="3"/>
  <c r="BNG73" i="3"/>
  <c r="BMR73" i="3"/>
  <c r="BMQ73" i="3"/>
  <c r="BMB73" i="3"/>
  <c r="BMA73" i="3"/>
  <c r="BLL73" i="3"/>
  <c r="BLK73" i="3"/>
  <c r="BKV73" i="3"/>
  <c r="BKU73" i="3"/>
  <c r="BKF73" i="3"/>
  <c r="BKE73" i="3"/>
  <c r="BJP73" i="3"/>
  <c r="BJO73" i="3"/>
  <c r="BIZ73" i="3"/>
  <c r="BIY73" i="3"/>
  <c r="BIJ73" i="3"/>
  <c r="BII73" i="3"/>
  <c r="BHT73" i="3"/>
  <c r="BHS73" i="3"/>
  <c r="BHD73" i="3"/>
  <c r="BHC73" i="3"/>
  <c r="BGN73" i="3"/>
  <c r="BGM73" i="3"/>
  <c r="BFX73" i="3"/>
  <c r="BFW73" i="3"/>
  <c r="BFH73" i="3"/>
  <c r="BFG73" i="3"/>
  <c r="BER73" i="3"/>
  <c r="BEQ73" i="3"/>
  <c r="BEB73" i="3"/>
  <c r="BEA73" i="3"/>
  <c r="BDL73" i="3"/>
  <c r="BDK73" i="3"/>
  <c r="BCV73" i="3"/>
  <c r="BCU73" i="3"/>
  <c r="BCF73" i="3"/>
  <c r="BCE73" i="3"/>
  <c r="BBP73" i="3"/>
  <c r="BBO73" i="3"/>
  <c r="BAZ73" i="3"/>
  <c r="BAY73" i="3"/>
  <c r="BAJ73" i="3"/>
  <c r="BAI73" i="3"/>
  <c r="AZT73" i="3"/>
  <c r="AZS73" i="3"/>
  <c r="AZD73" i="3"/>
  <c r="AZC73" i="3"/>
  <c r="AYN73" i="3"/>
  <c r="AYM73" i="3"/>
  <c r="AXX73" i="3"/>
  <c r="AXW73" i="3"/>
  <c r="AXH73" i="3"/>
  <c r="AXG73" i="3"/>
  <c r="AWR73" i="3"/>
  <c r="AWQ73" i="3"/>
  <c r="AWB73" i="3"/>
  <c r="AWA73" i="3"/>
  <c r="AVL73" i="3"/>
  <c r="AVK73" i="3"/>
  <c r="AUV73" i="3"/>
  <c r="AUU73" i="3"/>
  <c r="AUF73" i="3"/>
  <c r="AUE73" i="3"/>
  <c r="ATP73" i="3"/>
  <c r="ATO73" i="3"/>
  <c r="ASZ73" i="3"/>
  <c r="ASY73" i="3"/>
  <c r="ASJ73" i="3"/>
  <c r="ASI73" i="3"/>
  <c r="ART73" i="3"/>
  <c r="ARS73" i="3"/>
  <c r="ARD73" i="3"/>
  <c r="ARC73" i="3"/>
  <c r="AQN73" i="3"/>
  <c r="AQM73" i="3"/>
  <c r="APX73" i="3"/>
  <c r="APW73" i="3"/>
  <c r="APH73" i="3"/>
  <c r="APG73" i="3"/>
  <c r="AOR73" i="3"/>
  <c r="AOQ73" i="3"/>
  <c r="AOB73" i="3"/>
  <c r="AOA73" i="3"/>
  <c r="ANL73" i="3"/>
  <c r="ANK73" i="3"/>
  <c r="AMV73" i="3"/>
  <c r="AMU73" i="3"/>
  <c r="AMF73" i="3"/>
  <c r="AME73" i="3"/>
  <c r="ALP73" i="3"/>
  <c r="ALO73" i="3"/>
  <c r="AKZ73" i="3"/>
  <c r="AKY73" i="3"/>
  <c r="AKJ73" i="3"/>
  <c r="AKI73" i="3"/>
  <c r="AJT73" i="3"/>
  <c r="AJS73" i="3"/>
  <c r="AJD73" i="3"/>
  <c r="AJC73" i="3"/>
  <c r="AIN73" i="3"/>
  <c r="AIM73" i="3"/>
  <c r="AHX73" i="3"/>
  <c r="AHW73" i="3"/>
  <c r="AHH73" i="3"/>
  <c r="AHG73" i="3"/>
  <c r="AGR73" i="3"/>
  <c r="AGQ73" i="3"/>
  <c r="AGB73" i="3"/>
  <c r="AGA73" i="3"/>
  <c r="AFL73" i="3"/>
  <c r="AFK73" i="3"/>
  <c r="AEV73" i="3"/>
  <c r="AEU73" i="3"/>
  <c r="AEF73" i="3"/>
  <c r="AEE73" i="3"/>
  <c r="ADP73" i="3"/>
  <c r="ADO73" i="3"/>
  <c r="ACZ73" i="3"/>
  <c r="ACY73" i="3"/>
  <c r="ACJ73" i="3"/>
  <c r="ACI73" i="3"/>
  <c r="ABT73" i="3"/>
  <c r="ABS73" i="3"/>
  <c r="ABD73" i="3"/>
  <c r="ABC73" i="3"/>
  <c r="AAN73" i="3"/>
  <c r="AAM73" i="3"/>
  <c r="ZX73" i="3"/>
  <c r="ZW73" i="3"/>
  <c r="ZH73" i="3"/>
  <c r="ZG73" i="3"/>
  <c r="YR73" i="3"/>
  <c r="YQ73" i="3"/>
  <c r="YB73" i="3"/>
  <c r="YA73" i="3"/>
  <c r="XL73" i="3"/>
  <c r="XK73" i="3"/>
  <c r="WV73" i="3"/>
  <c r="WU73" i="3"/>
  <c r="WF73" i="3"/>
  <c r="WE73" i="3"/>
  <c r="VP73" i="3"/>
  <c r="VO73" i="3"/>
  <c r="UZ73" i="3"/>
  <c r="UY73" i="3"/>
  <c r="UJ73" i="3"/>
  <c r="UI73" i="3"/>
  <c r="TT73" i="3"/>
  <c r="TS73" i="3"/>
  <c r="TD73" i="3"/>
  <c r="TC73" i="3"/>
  <c r="SN73" i="3"/>
  <c r="SM73" i="3"/>
  <c r="RX73" i="3"/>
  <c r="RW73" i="3"/>
  <c r="RH73" i="3"/>
  <c r="RG73" i="3"/>
  <c r="QR73" i="3"/>
  <c r="QQ73" i="3"/>
  <c r="QB73" i="3"/>
  <c r="QA73" i="3"/>
  <c r="PL73" i="3"/>
  <c r="PK73" i="3"/>
  <c r="OV73" i="3"/>
  <c r="OU73" i="3"/>
  <c r="JPE73" i="3" l="1"/>
  <c r="JQK73" i="3"/>
  <c r="JRQ73" i="3"/>
  <c r="JSW73" i="3"/>
  <c r="JUC73" i="3"/>
  <c r="JWO73" i="3"/>
  <c r="KGK73" i="3"/>
  <c r="WCC73" i="3"/>
  <c r="WDI73" i="3"/>
  <c r="WFU73" i="3"/>
  <c r="WKS73" i="3"/>
  <c r="WLY73" i="3"/>
  <c r="WNE73" i="3"/>
  <c r="WPQ73" i="3"/>
  <c r="WUO73" i="3"/>
  <c r="WVU73" i="3"/>
  <c r="WXA73" i="3"/>
  <c r="WZM73" i="3"/>
  <c r="XAS73" i="3"/>
  <c r="XBY73" i="3"/>
  <c r="VMS73" i="3"/>
  <c r="VPE73" i="3"/>
  <c r="VRQ73" i="3"/>
  <c r="VVI73" i="3"/>
  <c r="WVE73" i="3"/>
  <c r="WYW73" i="3"/>
  <c r="XFA73" i="3"/>
  <c r="AAO73" i="3"/>
  <c r="BLM73" i="3"/>
  <c r="FOO73" i="3"/>
  <c r="FTM73" i="3"/>
  <c r="GKS73" i="3"/>
  <c r="GLY73" i="3"/>
  <c r="GNE73" i="3"/>
  <c r="GUO73" i="3"/>
  <c r="GVU73" i="3"/>
  <c r="GZM73" i="3"/>
  <c r="HAS73" i="3"/>
  <c r="HNA73" i="3"/>
  <c r="HPM73" i="3"/>
  <c r="KVE73" i="3"/>
  <c r="KWK73" i="3"/>
  <c r="KXQ73" i="3"/>
  <c r="LAC73" i="3"/>
  <c r="LCO73" i="3"/>
  <c r="LDU73" i="3"/>
  <c r="LFA73" i="3"/>
  <c r="LGG73" i="3"/>
  <c r="LHM73" i="3"/>
  <c r="LJY73" i="3"/>
  <c r="LTU73" i="3"/>
  <c r="NTM73" i="3"/>
  <c r="NUS73" i="3"/>
  <c r="NVY73" i="3"/>
  <c r="NXE73" i="3"/>
  <c r="NYK73" i="3"/>
  <c r="OAW73" i="3"/>
  <c r="ODI73" i="3"/>
  <c r="OEO73" i="3"/>
  <c r="OFU73" i="3"/>
  <c r="OHA73" i="3"/>
  <c r="OIG73" i="3"/>
  <c r="OKS73" i="3"/>
  <c r="TLE73" i="3"/>
  <c r="TMK73" i="3"/>
  <c r="TVA73" i="3"/>
  <c r="TWG73" i="3"/>
  <c r="UEW73" i="3"/>
  <c r="UGC73" i="3"/>
  <c r="UIO73" i="3"/>
  <c r="UNM73" i="3"/>
  <c r="USK73" i="3"/>
  <c r="UTQ73" i="3"/>
  <c r="UUW73" i="3"/>
  <c r="UYO73" i="3"/>
  <c r="UZU73" i="3"/>
  <c r="VCG73" i="3"/>
  <c r="VHE73" i="3"/>
  <c r="XEK73" i="3"/>
  <c r="OUO73" i="3"/>
  <c r="PGW73" i="3"/>
  <c r="QPI73" i="3"/>
  <c r="QTA73" i="3"/>
  <c r="RFI73" i="3"/>
  <c r="RLM73" i="3"/>
  <c r="RMS73" i="3"/>
  <c r="RPE73" i="3"/>
  <c r="RUC73" i="3"/>
  <c r="SCS73" i="3"/>
  <c r="SDY73" i="3"/>
  <c r="SGK73" i="3"/>
  <c r="SHQ73" i="3"/>
  <c r="SIW73" i="3"/>
  <c r="VRA73" i="3"/>
  <c r="VSG73" i="3"/>
  <c r="VTM73" i="3"/>
  <c r="VVY73" i="3"/>
  <c r="TWW73" i="3"/>
  <c r="UEG73" i="3"/>
  <c r="ADQ73" i="3"/>
  <c r="AEW73" i="3"/>
  <c r="ALA73" i="3"/>
  <c r="APY73" i="3"/>
  <c r="BES73" i="3"/>
  <c r="BJQ73" i="3"/>
  <c r="BSW73" i="3"/>
  <c r="PZI73" i="3"/>
  <c r="BYK73" i="3"/>
  <c r="BZQ73" i="3"/>
  <c r="CJM73" i="3"/>
  <c r="CNE73" i="3"/>
  <c r="COK73" i="3"/>
  <c r="CPQ73" i="3"/>
  <c r="CSC73" i="3"/>
  <c r="CTI73" i="3"/>
  <c r="DDE73" i="3"/>
  <c r="DGW73" i="3"/>
  <c r="DIC73" i="3"/>
  <c r="DJI73" i="3"/>
  <c r="DLU73" i="3"/>
  <c r="DNA73" i="3"/>
  <c r="DWW73" i="3"/>
  <c r="EAO73" i="3"/>
  <c r="EBU73" i="3"/>
  <c r="FAK73" i="3"/>
  <c r="LUK73" i="3"/>
  <c r="LVQ73" i="3"/>
  <c r="MBU73" i="3"/>
  <c r="MXY73" i="3"/>
  <c r="MZE73" i="3"/>
  <c r="NFI73" i="3"/>
  <c r="NHU73" i="3"/>
  <c r="NJA73" i="3"/>
  <c r="NPE73" i="3"/>
  <c r="OLI73" i="3"/>
  <c r="OMO73" i="3"/>
  <c r="OSS73" i="3"/>
  <c r="PIS73" i="3"/>
  <c r="PZY73" i="3"/>
  <c r="QCK73" i="3"/>
  <c r="QOS73" i="3"/>
  <c r="QTQ73" i="3"/>
  <c r="QWC73" i="3"/>
  <c r="QYO73" i="3"/>
  <c r="QZU73" i="3"/>
  <c r="RBA73" i="3"/>
  <c r="RES73" i="3"/>
  <c r="RUS73" i="3"/>
  <c r="RZQ73" i="3"/>
  <c r="SAW73" i="3"/>
  <c r="SCC73" i="3"/>
  <c r="SJM73" i="3"/>
  <c r="STI73" i="3"/>
  <c r="SUO73" i="3"/>
  <c r="SVU73" i="3"/>
  <c r="TAS73" i="3"/>
  <c r="TDE73" i="3"/>
  <c r="TKO73" i="3"/>
  <c r="TNA73" i="3"/>
  <c r="TOG73" i="3"/>
  <c r="TPM73" i="3"/>
  <c r="TUK73" i="3"/>
  <c r="QGS73" i="3"/>
  <c r="QLQ73" i="3"/>
  <c r="QOC73" i="3"/>
  <c r="SLI73" i="3"/>
  <c r="SQG73" i="3"/>
  <c r="TAC73" i="3"/>
  <c r="VZA73" i="3"/>
  <c r="WIW73" i="3"/>
  <c r="ADA73" i="3"/>
  <c r="AEG73" i="3"/>
  <c r="AHY73" i="3"/>
  <c r="AKK73" i="3"/>
  <c r="ALQ73" i="3"/>
  <c r="AMW73" i="3"/>
  <c r="AQO73" i="3"/>
  <c r="ARU73" i="3"/>
  <c r="BBQ73" i="3"/>
  <c r="BEC73" i="3"/>
  <c r="BFI73" i="3"/>
  <c r="BGO73" i="3"/>
  <c r="BKG73" i="3"/>
  <c r="EOC73" i="3"/>
  <c r="HNQ73" i="3"/>
  <c r="HQS73" i="3"/>
  <c r="HZI73" i="3"/>
  <c r="IKK73" i="3"/>
  <c r="JCW73" i="3"/>
  <c r="PQC73" i="3"/>
  <c r="PVA73" i="3"/>
  <c r="CNU73" i="3"/>
  <c r="CRM73" i="3"/>
  <c r="CSS73" i="3"/>
  <c r="EBE73" i="3"/>
  <c r="EEW73" i="3"/>
  <c r="EGC73" i="3"/>
  <c r="EUW73" i="3"/>
  <c r="EYO73" i="3"/>
  <c r="EZU73" i="3"/>
  <c r="FHU73" i="3"/>
  <c r="FKG73" i="3"/>
  <c r="FXU73" i="3"/>
  <c r="GBM73" i="3"/>
  <c r="GMO73" i="3"/>
  <c r="HHM73" i="3"/>
  <c r="HZY73" i="3"/>
  <c r="IBE73" i="3"/>
  <c r="IHI73" i="3"/>
  <c r="ITQ73" i="3"/>
  <c r="IUW73" i="3"/>
  <c r="JBA73" i="3"/>
  <c r="KHA73" i="3"/>
  <c r="KIG73" i="3"/>
  <c r="KOK73" i="3"/>
  <c r="LKO73" i="3"/>
  <c r="LLU73" i="3"/>
  <c r="LVA73" i="3"/>
  <c r="MDQ73" i="3"/>
  <c r="MYO73" i="3"/>
  <c r="NHE73" i="3"/>
  <c r="PJI73" i="3"/>
  <c r="PKO73" i="3"/>
  <c r="POG73" i="3"/>
  <c r="PPM73" i="3"/>
  <c r="PVQ73" i="3"/>
  <c r="RIK73" i="3"/>
  <c r="RNI73" i="3"/>
  <c r="RSG73" i="3"/>
  <c r="ULQ73" i="3"/>
  <c r="UTA73" i="3"/>
  <c r="UVM73" i="3"/>
  <c r="UXY73" i="3"/>
  <c r="VBQ73" i="3"/>
  <c r="VMC73" i="3"/>
  <c r="QC73" i="3"/>
  <c r="SO73" i="3"/>
  <c r="ATQ73" i="3"/>
  <c r="AYO73" i="3"/>
  <c r="CAG73" i="3"/>
  <c r="CCS73" i="3"/>
  <c r="CTY73" i="3"/>
  <c r="CWK73" i="3"/>
  <c r="DNQ73" i="3"/>
  <c r="DQC73" i="3"/>
  <c r="EHI73" i="3"/>
  <c r="EJU73" i="3"/>
  <c r="HJY73" i="3"/>
  <c r="HMK73" i="3"/>
  <c r="JEC73" i="3"/>
  <c r="PYS73" i="3"/>
  <c r="RAK73" i="3"/>
  <c r="BNI73" i="3"/>
  <c r="BSG73" i="3"/>
  <c r="TE73" i="3"/>
  <c r="AFM73" i="3"/>
  <c r="AZE73" i="3"/>
  <c r="BVI73" i="3"/>
  <c r="BXU73" i="3"/>
  <c r="BZA73" i="3"/>
  <c r="CHA73" i="3"/>
  <c r="DAS73" i="3"/>
  <c r="KUO73" i="3"/>
  <c r="KXA73" i="3"/>
  <c r="KZM73" i="3"/>
  <c r="LEK73" i="3"/>
  <c r="LGW73" i="3"/>
  <c r="NIK73" i="3"/>
  <c r="NRA73" i="3"/>
  <c r="OLY73" i="3"/>
  <c r="SEO73" i="3"/>
  <c r="TFA73" i="3"/>
  <c r="TJY73" i="3"/>
  <c r="TTU73" i="3"/>
  <c r="UQO73" i="3"/>
  <c r="VFI73" i="3"/>
  <c r="WSS73" i="3"/>
  <c r="XCO73" i="3"/>
  <c r="EDA73" i="3"/>
  <c r="EFM73" i="3"/>
  <c r="EGS73" i="3"/>
  <c r="EQO73" i="3"/>
  <c r="EUG73" i="3"/>
  <c r="EVM73" i="3"/>
  <c r="EWS73" i="3"/>
  <c r="EZE73" i="3"/>
  <c r="FBA73" i="3"/>
  <c r="FDM73" i="3"/>
  <c r="FUS73" i="3"/>
  <c r="FXE73" i="3"/>
  <c r="GCC73" i="3"/>
  <c r="GQW73" i="3"/>
  <c r="HTU73" i="3"/>
  <c r="HWG73" i="3"/>
  <c r="HYS73" i="3"/>
  <c r="INM73" i="3"/>
  <c r="IPY73" i="3"/>
  <c r="ISK73" i="3"/>
  <c r="JXU73" i="3"/>
  <c r="MHY73" i="3"/>
  <c r="MKK73" i="3"/>
  <c r="MMW73" i="3"/>
  <c r="MRU73" i="3"/>
  <c r="MUG73" i="3"/>
  <c r="OVU73" i="3"/>
  <c r="PFQ73" i="3"/>
  <c r="QJU73" i="3"/>
  <c r="SYG73" i="3"/>
  <c r="TYS73" i="3"/>
  <c r="UDQ73" i="3"/>
  <c r="VKG73" i="3"/>
  <c r="DHM73" i="3"/>
  <c r="DLE73" i="3"/>
  <c r="DMK73" i="3"/>
  <c r="DUK73" i="3"/>
  <c r="FNY73" i="3"/>
  <c r="FPE73" i="3"/>
  <c r="FQK73" i="3"/>
  <c r="FSW73" i="3"/>
  <c r="FUC73" i="3"/>
  <c r="GFE73" i="3"/>
  <c r="GHQ73" i="3"/>
  <c r="GIW73" i="3"/>
  <c r="GKC73" i="3"/>
  <c r="GLI73" i="3"/>
  <c r="GPA73" i="3"/>
  <c r="GRM73" i="3"/>
  <c r="GVE73" i="3"/>
  <c r="GXQ73" i="3"/>
  <c r="GYW73" i="3"/>
  <c r="HBI73" i="3"/>
  <c r="HGG73" i="3"/>
  <c r="IBU73" i="3"/>
  <c r="IDA73" i="3"/>
  <c r="IEG73" i="3"/>
  <c r="IFM73" i="3"/>
  <c r="IGS73" i="3"/>
  <c r="IJE73" i="3"/>
  <c r="ITA73" i="3"/>
  <c r="IVM73" i="3"/>
  <c r="IWS73" i="3"/>
  <c r="IXY73" i="3"/>
  <c r="IZE73" i="3"/>
  <c r="JAK73" i="3"/>
  <c r="JHE73" i="3"/>
  <c r="JJQ73" i="3"/>
  <c r="JMC73" i="3"/>
  <c r="JRA73" i="3"/>
  <c r="JTM73" i="3"/>
  <c r="JXE73" i="3"/>
  <c r="JYK73" i="3"/>
  <c r="KHQ73" i="3"/>
  <c r="KQG73" i="3"/>
  <c r="LLE73" i="3"/>
  <c r="MIO73" i="3"/>
  <c r="MJU73" i="3"/>
  <c r="MLA73" i="3"/>
  <c r="MNM73" i="3"/>
  <c r="MPY73" i="3"/>
  <c r="MRE73" i="3"/>
  <c r="MSK73" i="3"/>
  <c r="MTQ73" i="3"/>
  <c r="MUW73" i="3"/>
  <c r="MXI73" i="3"/>
  <c r="NVI73" i="3"/>
  <c r="NXU73" i="3"/>
  <c r="OFE73" i="3"/>
  <c r="OHQ73" i="3"/>
  <c r="OVE73" i="3"/>
  <c r="OWK73" i="3"/>
  <c r="PCO73" i="3"/>
  <c r="PFA73" i="3"/>
  <c r="QRE73" i="3"/>
  <c r="SBM73" i="3"/>
  <c r="SRM73" i="3"/>
  <c r="SSS73" i="3"/>
  <c r="TBI73" i="3"/>
  <c r="TCO73" i="3"/>
  <c r="TRY73" i="3"/>
  <c r="UGS73" i="3"/>
  <c r="UHY73" i="3"/>
  <c r="UXI73" i="3"/>
  <c r="VNI73" i="3"/>
  <c r="VOO73" i="3"/>
  <c r="WBM73" i="3"/>
  <c r="WFE73" i="3"/>
  <c r="WLI73" i="3"/>
  <c r="WPA73" i="3"/>
  <c r="QS73" i="3"/>
  <c r="UK73" i="3"/>
  <c r="VQ73" i="3"/>
  <c r="YC73" i="3"/>
  <c r="ACK73" i="3"/>
  <c r="AGC73" i="3"/>
  <c r="API73" i="3"/>
  <c r="AUG73" i="3"/>
  <c r="AVM73" i="3"/>
  <c r="AWS73" i="3"/>
  <c r="BAK73" i="3"/>
  <c r="BDM73" i="3"/>
  <c r="BIK73" i="3"/>
  <c r="BOO73" i="3"/>
  <c r="BTM73" i="3"/>
  <c r="CDY73" i="3"/>
  <c r="CHQ73" i="3"/>
  <c r="CIW73" i="3"/>
  <c r="CQW73" i="3"/>
  <c r="CXA73" i="3"/>
  <c r="CYG73" i="3"/>
  <c r="CZM73" i="3"/>
  <c r="DBY73" i="3"/>
  <c r="DDU73" i="3"/>
  <c r="DGG73" i="3"/>
  <c r="DRI73" i="3"/>
  <c r="DVA73" i="3"/>
  <c r="DWG73" i="3"/>
  <c r="EEG73" i="3"/>
  <c r="EKK73" i="3"/>
  <c r="ELQ73" i="3"/>
  <c r="EMW73" i="3"/>
  <c r="EPI73" i="3"/>
  <c r="ERE73" i="3"/>
  <c r="ETQ73" i="3"/>
  <c r="FES73" i="3"/>
  <c r="FIK73" i="3"/>
  <c r="FJQ73" i="3"/>
  <c r="FRQ73" i="3"/>
  <c r="FZA73" i="3"/>
  <c r="GAG73" i="3"/>
  <c r="GCS73" i="3"/>
  <c r="GDY73" i="3"/>
  <c r="GJM73" i="3"/>
  <c r="GTI73" i="3"/>
  <c r="GYG73" i="3"/>
  <c r="HDE73" i="3"/>
  <c r="HFQ73" i="3"/>
  <c r="HKO73" i="3"/>
  <c r="HLU73" i="3"/>
  <c r="HQC73" i="3"/>
  <c r="HRI73" i="3"/>
  <c r="IAO73" i="3"/>
  <c r="IOC73" i="3"/>
  <c r="IPI73" i="3"/>
  <c r="IQO73" i="3"/>
  <c r="IXI73" i="3"/>
  <c r="IZU73" i="3"/>
  <c r="JDM73" i="3"/>
  <c r="JES73" i="3"/>
  <c r="JNI73" i="3"/>
  <c r="JOO73" i="3"/>
  <c r="JUS73" i="3"/>
  <c r="LOG73" i="3"/>
  <c r="LQS73" i="3"/>
  <c r="LTE73" i="3"/>
  <c r="MEW73" i="3"/>
  <c r="OPA73" i="3"/>
  <c r="ORM73" i="3"/>
  <c r="PXM73" i="3"/>
  <c r="RGO73" i="3"/>
  <c r="RHU73" i="3"/>
  <c r="RKG73" i="3"/>
  <c r="SQW73" i="3"/>
  <c r="WAW73" i="3"/>
  <c r="TU73" i="3"/>
  <c r="VA73" i="3"/>
  <c r="WG73" i="3"/>
  <c r="ZY73" i="3"/>
  <c r="AJU73" i="3"/>
  <c r="AOS73" i="3"/>
  <c r="AUW73" i="3"/>
  <c r="AZU73" i="3"/>
  <c r="BJA73" i="3"/>
  <c r="BNY73" i="3"/>
  <c r="BPE73" i="3"/>
  <c r="BQK73" i="3"/>
  <c r="BUC73" i="3"/>
  <c r="BXE73" i="3"/>
  <c r="CDI73" i="3"/>
  <c r="CEO73" i="3"/>
  <c r="CFU73" i="3"/>
  <c r="CIG73" i="3"/>
  <c r="CKC73" i="3"/>
  <c r="CMO73" i="3"/>
  <c r="CXQ73" i="3"/>
  <c r="DBI73" i="3"/>
  <c r="DCO73" i="3"/>
  <c r="DKO73" i="3"/>
  <c r="DQS73" i="3"/>
  <c r="DRY73" i="3"/>
  <c r="DTE73" i="3"/>
  <c r="DVQ73" i="3"/>
  <c r="DXM73" i="3"/>
  <c r="DZY73" i="3"/>
  <c r="ELA73" i="3"/>
  <c r="EOS73" i="3"/>
  <c r="EPY73" i="3"/>
  <c r="EXY73" i="3"/>
  <c r="FEC73" i="3"/>
  <c r="FFI73" i="3"/>
  <c r="FGO73" i="3"/>
  <c r="FJA73" i="3"/>
  <c r="FKW73" i="3"/>
  <c r="FNI73" i="3"/>
  <c r="FSG73" i="3"/>
  <c r="FYK73" i="3"/>
  <c r="GDI73" i="3"/>
  <c r="GTY73" i="3"/>
  <c r="HFA73" i="3"/>
  <c r="HUK73" i="3"/>
  <c r="HVQ73" i="3"/>
  <c r="HWW73" i="3"/>
  <c r="IDQ73" i="3"/>
  <c r="IGC73" i="3"/>
  <c r="IJU73" i="3"/>
  <c r="ILA73" i="3"/>
  <c r="IUG73" i="3"/>
  <c r="JHU73" i="3"/>
  <c r="JJA73" i="3"/>
  <c r="JKG73" i="3"/>
  <c r="JMS73" i="3"/>
  <c r="KAW73" i="3"/>
  <c r="KDI73" i="3"/>
  <c r="KFU73" i="3"/>
  <c r="KRM73" i="3"/>
  <c r="NBQ73" i="3"/>
  <c r="NEC73" i="3"/>
  <c r="NSG73" i="3"/>
  <c r="QDA73" i="3"/>
  <c r="QEG73" i="3"/>
  <c r="QHY73" i="3"/>
  <c r="QJE73" i="3"/>
  <c r="RPU73" i="3"/>
  <c r="RTM73" i="3"/>
  <c r="JNY73" i="3"/>
  <c r="KBM73" i="3"/>
  <c r="KCS73" i="3"/>
  <c r="KDY73" i="3"/>
  <c r="KKS73" i="3"/>
  <c r="KNE73" i="3"/>
  <c r="KQW73" i="3"/>
  <c r="KSC73" i="3"/>
  <c r="LBI73" i="3"/>
  <c r="LOW73" i="3"/>
  <c r="LQC73" i="3"/>
  <c r="LRI73" i="3"/>
  <c r="LYC73" i="3"/>
  <c r="MAO73" i="3"/>
  <c r="MEG73" i="3"/>
  <c r="MFM73" i="3"/>
  <c r="MOS73" i="3"/>
  <c r="NBA73" i="3"/>
  <c r="NCG73" i="3"/>
  <c r="NDM73" i="3"/>
  <c r="NES73" i="3"/>
  <c r="NLM73" i="3"/>
  <c r="NNY73" i="3"/>
  <c r="NRQ73" i="3"/>
  <c r="NSW73" i="3"/>
  <c r="NZA73" i="3"/>
  <c r="OCC73" i="3"/>
  <c r="ONE73" i="3"/>
  <c r="OOK73" i="3"/>
  <c r="OPQ73" i="3"/>
  <c r="OQW73" i="3"/>
  <c r="OSC73" i="3"/>
  <c r="OYW73" i="3"/>
  <c r="PBI73" i="3"/>
  <c r="PGG73" i="3"/>
  <c r="PNA73" i="3"/>
  <c r="PRY73" i="3"/>
  <c r="PUK73" i="3"/>
  <c r="QEW73" i="3"/>
  <c r="QGC73" i="3"/>
  <c r="QHI73" i="3"/>
  <c r="QLA73" i="3"/>
  <c r="QMG73" i="3"/>
  <c r="QUG73" i="3"/>
  <c r="RDM73" i="3"/>
  <c r="RFY73" i="3"/>
  <c r="RJQ73" i="3"/>
  <c r="RQK73" i="3"/>
  <c r="RRQ73" i="3"/>
  <c r="RXE73" i="3"/>
  <c r="SFU73" i="3"/>
  <c r="SZM73" i="3"/>
  <c r="TTE73" i="3"/>
  <c r="UJE73" i="3"/>
  <c r="UOS73" i="3"/>
  <c r="UPY73" i="3"/>
  <c r="VDM73" i="3"/>
  <c r="VES73" i="3"/>
  <c r="VHU73" i="3"/>
  <c r="VLM73" i="3"/>
  <c r="VUC73" i="3"/>
  <c r="VWO73" i="3"/>
  <c r="WAG73" i="3"/>
  <c r="WHA73" i="3"/>
  <c r="WIG73" i="3"/>
  <c r="WNU73" i="3"/>
  <c r="WQG73" i="3"/>
  <c r="WTY73" i="3"/>
  <c r="KIW73" i="3"/>
  <c r="KKC73" i="3"/>
  <c r="KLI73" i="3"/>
  <c r="KMO73" i="3"/>
  <c r="KNU73" i="3"/>
  <c r="LAS73" i="3"/>
  <c r="LBY73" i="3"/>
  <c r="LIC73" i="3"/>
  <c r="LWG73" i="3"/>
  <c r="LXM73" i="3"/>
  <c r="LYS73" i="3"/>
  <c r="LZY73" i="3"/>
  <c r="MBE73" i="3"/>
  <c r="MOC73" i="3"/>
  <c r="MPI73" i="3"/>
  <c r="MVM73" i="3"/>
  <c r="NJQ73" i="3"/>
  <c r="NKW73" i="3"/>
  <c r="NMC73" i="3"/>
  <c r="NNI73" i="3"/>
  <c r="NOO73" i="3"/>
  <c r="OBM73" i="3"/>
  <c r="OCS73" i="3"/>
  <c r="OIW73" i="3"/>
  <c r="OXA73" i="3"/>
  <c r="OYG73" i="3"/>
  <c r="OZM73" i="3"/>
  <c r="PAS73" i="3"/>
  <c r="PBY73" i="3"/>
  <c r="PLE73" i="3"/>
  <c r="PMK73" i="3"/>
  <c r="PNQ73" i="3"/>
  <c r="PRI73" i="3"/>
  <c r="PSO73" i="3"/>
  <c r="QAO73" i="3"/>
  <c r="QSK73" i="3"/>
  <c r="QWS73" i="3"/>
  <c r="QXY73" i="3"/>
  <c r="RBQ73" i="3"/>
  <c r="RCW73" i="3"/>
  <c r="RKW73" i="3"/>
  <c r="ROO73" i="3"/>
  <c r="RVI73" i="3"/>
  <c r="RWO73" i="3"/>
  <c r="RXU73" i="3"/>
  <c r="RZA73" i="3"/>
  <c r="SHA73" i="3"/>
  <c r="SLY73" i="3"/>
  <c r="SOK73" i="3"/>
  <c r="SPQ73" i="3"/>
  <c r="SVE73" i="3"/>
  <c r="SWK73" i="3"/>
  <c r="SXQ73" i="3"/>
  <c r="TFQ73" i="3"/>
  <c r="TIC73" i="3"/>
  <c r="TJI73" i="3"/>
  <c r="TOW73" i="3"/>
  <c r="TQC73" i="3"/>
  <c r="TRI73" i="3"/>
  <c r="TZI73" i="3"/>
  <c r="UBU73" i="3"/>
  <c r="UDA73" i="3"/>
  <c r="UJU73" i="3"/>
  <c r="ULA73" i="3"/>
  <c r="UOC73" i="3"/>
  <c r="URU73" i="3"/>
  <c r="VAK73" i="3"/>
  <c r="VCW73" i="3"/>
  <c r="VIK73" i="3"/>
  <c r="VJQ73" i="3"/>
  <c r="VXE73" i="3"/>
  <c r="VYK73" i="3"/>
  <c r="WDY73" i="3"/>
  <c r="WGK73" i="3"/>
  <c r="WKC73" i="3"/>
  <c r="WQW73" i="3"/>
  <c r="WSC73" i="3"/>
  <c r="WXQ73" i="3"/>
  <c r="XAC73" i="3"/>
  <c r="XDU73" i="3"/>
  <c r="OW73" i="3"/>
  <c r="ZI73" i="3"/>
  <c r="ABE73" i="3"/>
  <c r="AHI73" i="3"/>
  <c r="AIO73" i="3"/>
  <c r="AOC73" i="3"/>
  <c r="ARE73" i="3"/>
  <c r="ASK73" i="3"/>
  <c r="AXY73" i="3"/>
  <c r="BBA73" i="3"/>
  <c r="BCG73" i="3"/>
  <c r="BHU73" i="3"/>
  <c r="BKW73" i="3"/>
  <c r="BMC73" i="3"/>
  <c r="BRQ73" i="3"/>
  <c r="BUS73" i="3"/>
  <c r="BVY73" i="3"/>
  <c r="GEO73" i="3"/>
  <c r="GFU73" i="3"/>
  <c r="GHA73" i="3"/>
  <c r="GXA73" i="3"/>
  <c r="HCO73" i="3"/>
  <c r="HDU73" i="3"/>
  <c r="HGW73" i="3"/>
  <c r="HIC73" i="3"/>
  <c r="HJI73" i="3"/>
  <c r="HOW73" i="3"/>
  <c r="HXM73" i="3"/>
  <c r="ILQ73" i="3"/>
  <c r="IMW73" i="3"/>
  <c r="JCG73" i="3"/>
  <c r="JKW73" i="3"/>
  <c r="JZA73" i="3"/>
  <c r="KAG73" i="3"/>
  <c r="KPQ73" i="3"/>
  <c r="KYG73" i="3"/>
  <c r="LMK73" i="3"/>
  <c r="LNQ73" i="3"/>
  <c r="MDA73" i="3"/>
  <c r="MLQ73" i="3"/>
  <c r="MZU73" i="3"/>
  <c r="GNU73" i="3"/>
  <c r="PM73" i="3"/>
  <c r="RI73" i="3"/>
  <c r="XM73" i="3"/>
  <c r="YS73" i="3"/>
  <c r="AJE73" i="3"/>
  <c r="AMG73" i="3"/>
  <c r="ANM73" i="3"/>
  <c r="ATA73" i="3"/>
  <c r="AWC73" i="3"/>
  <c r="AXI73" i="3"/>
  <c r="BCW73" i="3"/>
  <c r="BFY73" i="3"/>
  <c r="BHE73" i="3"/>
  <c r="BMS73" i="3"/>
  <c r="BPU73" i="3"/>
  <c r="BRA73" i="3"/>
  <c r="BWO73" i="3"/>
  <c r="CAW73" i="3"/>
  <c r="CCC73" i="3"/>
  <c r="CFE73" i="3"/>
  <c r="CGK73" i="3"/>
  <c r="CKS73" i="3"/>
  <c r="CLY73" i="3"/>
  <c r="CPA73" i="3"/>
  <c r="CQG73" i="3"/>
  <c r="CUO73" i="3"/>
  <c r="CVU73" i="3"/>
  <c r="CYW73" i="3"/>
  <c r="DAC73" i="3"/>
  <c r="DEK73" i="3"/>
  <c r="DFQ73" i="3"/>
  <c r="DIS73" i="3"/>
  <c r="DJY73" i="3"/>
  <c r="DOG73" i="3"/>
  <c r="DPM73" i="3"/>
  <c r="DSO73" i="3"/>
  <c r="DTU73" i="3"/>
  <c r="DYC73" i="3"/>
  <c r="DZI73" i="3"/>
  <c r="ECK73" i="3"/>
  <c r="EDQ73" i="3"/>
  <c r="EHY73" i="3"/>
  <c r="EJE73" i="3"/>
  <c r="EMG73" i="3"/>
  <c r="ENM73" i="3"/>
  <c r="ERU73" i="3"/>
  <c r="ETA73" i="3"/>
  <c r="EWC73" i="3"/>
  <c r="EXI73" i="3"/>
  <c r="FBQ73" i="3"/>
  <c r="FCW73" i="3"/>
  <c r="FFY73" i="3"/>
  <c r="FHE73" i="3"/>
  <c r="FLM73" i="3"/>
  <c r="FMS73" i="3"/>
  <c r="GQG73" i="3"/>
  <c r="GSC73" i="3"/>
  <c r="GWK73" i="3"/>
  <c r="HRY73" i="3"/>
  <c r="HTE73" i="3"/>
  <c r="IIO73" i="3"/>
  <c r="IRE73" i="3"/>
  <c r="JFI73" i="3"/>
  <c r="JGO73" i="3"/>
  <c r="JVY73" i="3"/>
  <c r="KEO73" i="3"/>
  <c r="KSS73" i="3"/>
  <c r="KTY73" i="3"/>
  <c r="LJI73" i="3"/>
  <c r="LRY73" i="3"/>
  <c r="MGC73" i="3"/>
  <c r="MHI73" i="3"/>
  <c r="MWS73" i="3"/>
  <c r="NGO73" i="3"/>
  <c r="NQK73" i="3"/>
  <c r="OAG73" i="3"/>
  <c r="OKC73" i="3"/>
  <c r="OTY73" i="3"/>
  <c r="PDU73" i="3"/>
  <c r="PIC73" i="3"/>
  <c r="QBU73" i="3"/>
  <c r="QVM73" i="3"/>
  <c r="FPU73" i="3"/>
  <c r="FRA73" i="3"/>
  <c r="FVI73" i="3"/>
  <c r="FWO73" i="3"/>
  <c r="FZQ73" i="3"/>
  <c r="GAW73" i="3"/>
  <c r="GGK73" i="3"/>
  <c r="GIG73" i="3"/>
  <c r="GOK73" i="3"/>
  <c r="GPQ73" i="3"/>
  <c r="GSS73" i="3"/>
  <c r="HAC73" i="3"/>
  <c r="HBY73" i="3"/>
  <c r="HEK73" i="3"/>
  <c r="HSO73" i="3"/>
  <c r="HYC73" i="3"/>
  <c r="IMG73" i="3"/>
  <c r="IRU73" i="3"/>
  <c r="JFY73" i="3"/>
  <c r="JLM73" i="3"/>
  <c r="JZQ73" i="3"/>
  <c r="KFE73" i="3"/>
  <c r="KTI73" i="3"/>
  <c r="KYW73" i="3"/>
  <c r="LNA73" i="3"/>
  <c r="LSO73" i="3"/>
  <c r="MGS73" i="3"/>
  <c r="MMG73" i="3"/>
  <c r="NAK73" i="3"/>
  <c r="NFY73" i="3"/>
  <c r="NUC73" i="3"/>
  <c r="NZQ73" i="3"/>
  <c r="ONU73" i="3"/>
  <c r="OTI73" i="3"/>
  <c r="PEK73" i="3"/>
  <c r="PHM73" i="3"/>
  <c r="POW73" i="3"/>
  <c r="PQS73" i="3"/>
  <c r="PWW73" i="3"/>
  <c r="PYC73" i="3"/>
  <c r="QBE73" i="3"/>
  <c r="QIO73" i="3"/>
  <c r="QKK73" i="3"/>
  <c r="QQO73" i="3"/>
  <c r="QRU73" i="3"/>
  <c r="QUW73" i="3"/>
  <c r="RCG73" i="3"/>
  <c r="REC73" i="3"/>
  <c r="RHE73" i="3"/>
  <c r="RJA73" i="3"/>
  <c r="RMC73" i="3"/>
  <c r="RNY73" i="3"/>
  <c r="RRA73" i="3"/>
  <c r="RSW73" i="3"/>
  <c r="RVY73" i="3"/>
  <c r="PJY73" i="3"/>
  <c r="PLU73" i="3"/>
  <c r="PTE73" i="3"/>
  <c r="PWG73" i="3"/>
  <c r="QDQ73" i="3"/>
  <c r="QFM73" i="3"/>
  <c r="QMW73" i="3"/>
  <c r="QPY73" i="3"/>
  <c r="QXI73" i="3"/>
  <c r="QZE73" i="3"/>
  <c r="SKS73" i="3"/>
  <c r="SMO73" i="3"/>
  <c r="SNU73" i="3"/>
  <c r="TEK73" i="3"/>
  <c r="TGG73" i="3"/>
  <c r="THM73" i="3"/>
  <c r="TYC73" i="3"/>
  <c r="TZY73" i="3"/>
  <c r="UBE73" i="3"/>
  <c r="UMW73" i="3"/>
  <c r="UWS73" i="3"/>
  <c r="VGO73" i="3"/>
  <c r="VQK73" i="3"/>
  <c r="RYK73" i="3"/>
  <c r="SAG73" i="3"/>
  <c r="SDI73" i="3"/>
  <c r="SFE73" i="3"/>
  <c r="SIG73" i="3"/>
  <c r="SKC73" i="3"/>
  <c r="SNE73" i="3"/>
  <c r="SPA73" i="3"/>
  <c r="SSC73" i="3"/>
  <c r="STY73" i="3"/>
  <c r="SXA73" i="3"/>
  <c r="SYW73" i="3"/>
  <c r="TBY73" i="3"/>
  <c r="TDU73" i="3"/>
  <c r="TGW73" i="3"/>
  <c r="TIS73" i="3"/>
  <c r="TLU73" i="3"/>
  <c r="TNQ73" i="3"/>
  <c r="TQS73" i="3"/>
  <c r="TSO73" i="3"/>
  <c r="TVQ73" i="3"/>
  <c r="TXM73" i="3"/>
  <c r="UAO73" i="3"/>
  <c r="UCK73" i="3"/>
  <c r="UFM73" i="3"/>
  <c r="UHI73" i="3"/>
  <c r="UKK73" i="3"/>
  <c r="UMG73" i="3"/>
  <c r="UPI73" i="3"/>
  <c r="URE73" i="3"/>
  <c r="UUG73" i="3"/>
  <c r="UWC73" i="3"/>
  <c r="UZE73" i="3"/>
  <c r="VBA73" i="3"/>
  <c r="VEC73" i="3"/>
  <c r="VFY73" i="3"/>
  <c r="VJA73" i="3"/>
  <c r="VKW73" i="3"/>
  <c r="VNY73" i="3"/>
  <c r="VPU73" i="3"/>
  <c r="VSW73" i="3"/>
  <c r="VUS73" i="3"/>
  <c r="VXU73" i="3"/>
  <c r="VZQ73" i="3"/>
  <c r="WCS73" i="3"/>
  <c r="WEO73" i="3"/>
  <c r="WHQ73" i="3"/>
  <c r="WJM73" i="3"/>
  <c r="WMO73" i="3"/>
  <c r="WOK73" i="3"/>
  <c r="WRM73" i="3"/>
  <c r="WTI73" i="3"/>
  <c r="WWK73" i="3"/>
  <c r="WYG73" i="3"/>
  <c r="XBI73" i="3"/>
  <c r="XDE73" i="3"/>
  <c r="RY73" i="3"/>
  <c r="WW73" i="3"/>
  <c r="ABU73" i="3"/>
  <c r="AGS73" i="3"/>
  <c r="CBM73" i="3"/>
  <c r="CLI73" i="3"/>
  <c r="CVE73" i="3"/>
  <c r="DFA73" i="3"/>
  <c r="DOW73" i="3"/>
  <c r="DYS73" i="3"/>
  <c r="EIO73" i="3"/>
  <c r="ESK73" i="3"/>
  <c r="FCG73" i="3"/>
  <c r="FMC73" i="3"/>
  <c r="FVY73" i="3"/>
  <c r="HIS73" i="3"/>
  <c r="HOG73" i="3"/>
  <c r="ICK73" i="3"/>
  <c r="IHY73" i="3"/>
  <c r="IWC73" i="3"/>
  <c r="JBQ73" i="3"/>
  <c r="JPU73" i="3"/>
  <c r="JVI73" i="3"/>
  <c r="KJM73" i="3"/>
  <c r="KPA73" i="3"/>
  <c r="LDE73" i="3"/>
  <c r="LIS73" i="3"/>
  <c r="LWW73" i="3"/>
  <c r="MCK73" i="3"/>
  <c r="MQO73" i="3"/>
  <c r="MWC73" i="3"/>
  <c r="NKG73" i="3"/>
  <c r="NPU73" i="3"/>
  <c r="ODY73" i="3"/>
  <c r="OJM73" i="3"/>
  <c r="OXQ73" i="3"/>
  <c r="PDE73" i="3"/>
  <c r="PTU73" i="3"/>
  <c r="QNM73" i="3"/>
  <c r="HLE73" i="3"/>
  <c r="HVA73" i="3"/>
  <c r="IEW73" i="3"/>
  <c r="IOS73" i="3"/>
  <c r="IYO73" i="3"/>
  <c r="JIK73" i="3"/>
  <c r="JSG73" i="3"/>
  <c r="KCC73" i="3"/>
  <c r="KLY73" i="3"/>
  <c r="KVU73" i="3"/>
  <c r="LFQ73" i="3"/>
  <c r="LPM73" i="3"/>
  <c r="LZI73" i="3"/>
  <c r="MJE73" i="3"/>
  <c r="MTA73" i="3"/>
  <c r="NCW73" i="3"/>
  <c r="NMS73" i="3"/>
  <c r="NWO73" i="3"/>
  <c r="OGK73" i="3"/>
  <c r="OQG73" i="3"/>
  <c r="PAC73" i="3"/>
  <c r="M1" i="2" l="1"/>
  <c r="Q5" i="5" s="1"/>
  <c r="M2" i="2"/>
</calcChain>
</file>

<file path=xl/sharedStrings.xml><?xml version="1.0" encoding="utf-8"?>
<sst xmlns="http://schemas.openxmlformats.org/spreadsheetml/2006/main" count="6841" uniqueCount="458">
  <si>
    <t>ΤΕΡΝΑ</t>
  </si>
  <si>
    <t>α/α</t>
  </si>
  <si>
    <t>Ημερομηνία Άρμοσης</t>
  </si>
  <si>
    <t>Ημερομηνία Εξάρμοσης</t>
  </si>
  <si>
    <t>Υψόμετρο</t>
  </si>
  <si>
    <t xml:space="preserve">Τύπος ικριώματος </t>
  </si>
  <si>
    <t>πλάτος</t>
  </si>
  <si>
    <t xml:space="preserve">μήκος </t>
  </si>
  <si>
    <t>ύψος</t>
  </si>
  <si>
    <t>Κυβικά</t>
  </si>
  <si>
    <t>ΥΠΟΓΡΑΦΗ</t>
  </si>
  <si>
    <t>Αξία Ικριωμάτων</t>
  </si>
  <si>
    <t>ΠΥΡΓΟΙ 0-10m</t>
  </si>
  <si>
    <t>ΠΥΡΓΟΙ 10-20m</t>
  </si>
  <si>
    <t>ΠΥΡΓΟΙ 20-30m</t>
  </si>
  <si>
    <t>ΚΡΕΜΑΣΤΟ ΙΚΡΙΩΜΑ 0-10Μ</t>
  </si>
  <si>
    <t>ΚΡΕΜΑΣΤΟ ΙΚΡΙΩΜΑ 10-20Μ</t>
  </si>
  <si>
    <t>ΚΡΕΜΑΣΤΟ ΙΚΡΙΩΜΑ 20-30Μ</t>
  </si>
  <si>
    <t>DANCING FLOOR</t>
  </si>
  <si>
    <t>ΚΛΙΜΑΚΟΣΤΑΣΙΟ</t>
  </si>
  <si>
    <t>Ημερομηνία</t>
  </si>
  <si>
    <t xml:space="preserve"> Περιγραφή</t>
  </si>
  <si>
    <t>Τοποθεσία</t>
  </si>
  <si>
    <t>Α/Α 1</t>
  </si>
  <si>
    <t>Α/Α 2</t>
  </si>
  <si>
    <t>Α/Α 3</t>
  </si>
  <si>
    <t>Α/Α 4</t>
  </si>
  <si>
    <t>ΩΡΕΣ/ΑΤΟΜΟ</t>
  </si>
  <si>
    <t>ΣΥΝΟΛΙΚΕΣ 
ΩΡΕΣ</t>
  </si>
  <si>
    <t>Αξία Απολογιστικών</t>
  </si>
  <si>
    <t>Α/Α</t>
  </si>
  <si>
    <t>ΙΔΙΟΤΗΤΑ</t>
  </si>
  <si>
    <t>ΩΡΑΡΙΟ</t>
  </si>
  <si>
    <t>ΗΜΕΡΕΣ</t>
  </si>
  <si>
    <t>ΩΡΟΜΙΣΘΙΟ</t>
  </si>
  <si>
    <t>ΩΡΕΣ</t>
  </si>
  <si>
    <t>ΜΕΤΑΤΡΟΠΗ ΑΠΌ ΤΕΧΝΙΤΗ- ΧΩΡΙΣ ΥΛΙΚΑ</t>
  </si>
  <si>
    <t>7:00-17:00</t>
  </si>
  <si>
    <t>ΔΕΥΤΕΡΑ-ΣΑΒΒΑΤΟ</t>
  </si>
  <si>
    <t xml:space="preserve">ΠΕΡΑΝ  7:00-17:00 </t>
  </si>
  <si>
    <t>ΜΕΤΑΤΡΟΠΗ ΑΠΌ ΒΟΗΘΟ- ΧΩΡΙΣ ΥΛΙΚΑ</t>
  </si>
  <si>
    <t>Αξία ενοικίου</t>
  </si>
  <si>
    <t>ΑΛΕΞΑΝΔΡΟΣ ΔΙΡΧΑΛΙΔΗΣ</t>
  </si>
  <si>
    <t>S6</t>
  </si>
  <si>
    <t>Α0383</t>
  </si>
  <si>
    <t>ΚΑΤΩ ΑΠΌ GT</t>
  </si>
  <si>
    <t>ΗΜΕΡΟΜΗΝΙΑ ΑΡΜΟΣΗΣ</t>
  </si>
  <si>
    <t>ΤΟΠΟΘΕΣΙΑ</t>
  </si>
  <si>
    <t>ΠΕΡΙΓΡΑΦΗ</t>
  </si>
  <si>
    <t>ΚΩΔΙΚΟΣ ΙΚΡΙΩΜΑΤΟΣ</t>
  </si>
  <si>
    <t>ΠΛΑΤΟΣ</t>
  </si>
  <si>
    <t>ΜΗΚΟΣ</t>
  </si>
  <si>
    <t>ΥΨΟΣ</t>
  </si>
  <si>
    <r>
      <t>Αξία ανά m</t>
    </r>
    <r>
      <rPr>
        <vertAlign val="superscript"/>
        <sz val="10"/>
        <rFont val="Calibri"/>
        <family val="2"/>
        <charset val="161"/>
        <scheme val="minor"/>
      </rPr>
      <t>3</t>
    </r>
  </si>
  <si>
    <t>Αξία Ικριώματος</t>
  </si>
  <si>
    <t>ΣΗΜΕΙΩΣΕΙΣ</t>
  </si>
  <si>
    <t>ΠΥΡΓΟΙ ΕΣΩΤΕΡΙΚΑ 0-10Μ</t>
  </si>
  <si>
    <t>ΠΥΡΓΟΙ ΕΣΩΤΕΡΙΚΑ 10-20Μ</t>
  </si>
  <si>
    <t>ΠΥΡΓΟΙ 30-40m</t>
  </si>
  <si>
    <t>ΚΡΕΜΑΣΤΟ ΙΚΡΙΩΜΑ 30-40Μ</t>
  </si>
  <si>
    <t>ΕΛΑΧΙΣΤΗ ΧΡΕΩΣΗ ΤΑ 25m3</t>
  </si>
  <si>
    <t>Αξία Ενοικίων / Εβδομάδα</t>
  </si>
  <si>
    <t>1η χρέωση μετά από 30 ημέρες</t>
  </si>
  <si>
    <t>Αριθμος εβδομάδων χρέωσης</t>
  </si>
  <si>
    <t>Περιγραφή</t>
  </si>
  <si>
    <t>ΕΒΔΟΜΑΔΑ</t>
  </si>
  <si>
    <t>Ενοίκιο έως</t>
  </si>
  <si>
    <r>
      <t>Αξία ανά m</t>
    </r>
    <r>
      <rPr>
        <b/>
        <vertAlign val="superscript"/>
        <sz val="12"/>
        <color theme="1"/>
        <rFont val="Calibri Light"/>
        <family val="2"/>
        <charset val="161"/>
        <scheme val="major"/>
      </rPr>
      <t>3</t>
    </r>
  </si>
  <si>
    <t>Ι001</t>
  </si>
  <si>
    <t>Ι003</t>
  </si>
  <si>
    <t>BOILER</t>
  </si>
  <si>
    <t>ΒΟΤΙΑ - B</t>
  </si>
  <si>
    <t>+Θ002</t>
  </si>
  <si>
    <t>Β002,1</t>
  </si>
  <si>
    <t>ΕΣΩΤΕΡΙΚΑ - 2ος ΔΙΑΔΡΟΜΟΣ MODULE</t>
  </si>
  <si>
    <t>Β002,2</t>
  </si>
  <si>
    <t>Β002,3</t>
  </si>
  <si>
    <t>Β003,1</t>
  </si>
  <si>
    <t>ΕΣΩΤΕΡΙΚΑ - 3ος ΔΙΑΔΡΟΜΟΣ MODULE</t>
  </si>
  <si>
    <t>Β003,2</t>
  </si>
  <si>
    <t>Β003,3</t>
  </si>
  <si>
    <t>ΝΟΤΙΑ</t>
  </si>
  <si>
    <t>Γ004</t>
  </si>
  <si>
    <t>+Η040, Θ010</t>
  </si>
  <si>
    <t>Γ021</t>
  </si>
  <si>
    <t>INLET</t>
  </si>
  <si>
    <t>+E011,Ε018,Ε022,ΣΤ020,Ζ032</t>
  </si>
  <si>
    <t>Γ025,1</t>
  </si>
  <si>
    <t>OUTLET ΕΞΩΤΕΡΙΚΑ - ΑΡΙΣΤΕΡΑ</t>
  </si>
  <si>
    <t>+ΣΤ013</t>
  </si>
  <si>
    <t>Γ025,2</t>
  </si>
  <si>
    <t>Γ025,3</t>
  </si>
  <si>
    <t>Γ029</t>
  </si>
  <si>
    <t>Γ030</t>
  </si>
  <si>
    <t>Γ031</t>
  </si>
  <si>
    <t>Γ033,1</t>
  </si>
  <si>
    <t>ΕΣΩΤΕΡΙΚΑ - 5ος ΔΙΑΔΡΟΜΟΣ MODULE</t>
  </si>
  <si>
    <t>Γ033,2</t>
  </si>
  <si>
    <t>Γ033,3</t>
  </si>
  <si>
    <t>Ε001,1</t>
  </si>
  <si>
    <t xml:space="preserve">ΕΣΩΤΕΡΙΚΑ - MODULE ΔΙΑΔΡΟΜΟΣ 1 </t>
  </si>
  <si>
    <t>+Ε023,Ε024,H004,Θ012</t>
  </si>
  <si>
    <t>Ε001,2</t>
  </si>
  <si>
    <t>Ε001,3</t>
  </si>
  <si>
    <t>Ε004</t>
  </si>
  <si>
    <t>+ΣΤ003</t>
  </si>
  <si>
    <t>Ε005</t>
  </si>
  <si>
    <t>+ΣΤ004</t>
  </si>
  <si>
    <t>Ε006</t>
  </si>
  <si>
    <t>Ε009,1</t>
  </si>
  <si>
    <t>Ε009,2</t>
  </si>
  <si>
    <t>Ε010,1</t>
  </si>
  <si>
    <t>Ε010,2</t>
  </si>
  <si>
    <t>Ε010,3</t>
  </si>
  <si>
    <t>Ε011,1</t>
  </si>
  <si>
    <t>+Γ021</t>
  </si>
  <si>
    <t>Ε011,2</t>
  </si>
  <si>
    <t>Ε011,3</t>
  </si>
  <si>
    <t>Ε011,4</t>
  </si>
  <si>
    <t>Ε011,5</t>
  </si>
  <si>
    <t>Ε016,1</t>
  </si>
  <si>
    <t>ΕΣΩΤΕΡΙΚΑ - MODULE 1</t>
  </si>
  <si>
    <t>Ε016,2</t>
  </si>
  <si>
    <t>Ε018,1</t>
  </si>
  <si>
    <t>Ε018,2</t>
  </si>
  <si>
    <t>Ε018,3</t>
  </si>
  <si>
    <t>Ε019</t>
  </si>
  <si>
    <t>ΒΟΡΕΙΑ</t>
  </si>
  <si>
    <t>+Ε017</t>
  </si>
  <si>
    <t>Ε022,1</t>
  </si>
  <si>
    <t>Ε022,2</t>
  </si>
  <si>
    <t>Ε022,3</t>
  </si>
  <si>
    <t>Ε023</t>
  </si>
  <si>
    <t>MODULE 1</t>
  </si>
  <si>
    <t>+Ε001</t>
  </si>
  <si>
    <t>Ε025</t>
  </si>
  <si>
    <t>Ε028</t>
  </si>
  <si>
    <t>+ΣΤ027,Ζ008</t>
  </si>
  <si>
    <t>ΣΤ001,1</t>
  </si>
  <si>
    <t>ΕΣΩΤΕΡΙΚΑ - MODULE ΔΙΑΔΡΟΜΟΣ 4</t>
  </si>
  <si>
    <t>ΣΤ001,2</t>
  </si>
  <si>
    <t>ΣΤ001,3</t>
  </si>
  <si>
    <t>ΣΤ003</t>
  </si>
  <si>
    <t>+Ε004</t>
  </si>
  <si>
    <t>ΣΤ004</t>
  </si>
  <si>
    <t>+Ε005</t>
  </si>
  <si>
    <t>OUTLET</t>
  </si>
  <si>
    <t>ΣΤ008</t>
  </si>
  <si>
    <t>+Η003</t>
  </si>
  <si>
    <t>ΣΤ010,1</t>
  </si>
  <si>
    <t>ΕΣΩΤΕΡΙΚΑ - MODULE ΔΙΑΔΡΟΜΟΣ 6</t>
  </si>
  <si>
    <t>ΣΤ010,2</t>
  </si>
  <si>
    <t>ΣΤ010,3</t>
  </si>
  <si>
    <t>ΣΤ011,1</t>
  </si>
  <si>
    <t>+Η009</t>
  </si>
  <si>
    <t>ΣΤ011,2</t>
  </si>
  <si>
    <t>ΣΤ011,3</t>
  </si>
  <si>
    <t>ΣΤ013,1</t>
  </si>
  <si>
    <t>ΑΡΙΣΤΕΡΑ ΕΞΩΤΕΡΙΚΑ</t>
  </si>
  <si>
    <t>+Γ025</t>
  </si>
  <si>
    <t>ΣΤ013,2</t>
  </si>
  <si>
    <t>ΣΤ013,3</t>
  </si>
  <si>
    <t>ΣΤ017</t>
  </si>
  <si>
    <t>ΠΑΝΩ ΣΤΟ MODULE</t>
  </si>
  <si>
    <t>+Ζ024,Ζ050,Η017</t>
  </si>
  <si>
    <t>ΣΤ019</t>
  </si>
  <si>
    <t>ΝΟΤΙΑ - ΔΥΤΙΚΑ</t>
  </si>
  <si>
    <t>ΣΤ020,1</t>
  </si>
  <si>
    <t>ΣΤ020,2</t>
  </si>
  <si>
    <t>ΣΤ022</t>
  </si>
  <si>
    <t>+ΣΤ019</t>
  </si>
  <si>
    <t>ΣΤ024</t>
  </si>
  <si>
    <t>ΣΤ027</t>
  </si>
  <si>
    <t>+Ε028</t>
  </si>
  <si>
    <t>Ζ001</t>
  </si>
  <si>
    <t>Ζ002</t>
  </si>
  <si>
    <t>ΑΝΑΤΟΛΙΚΑ</t>
  </si>
  <si>
    <t>Ζ006</t>
  </si>
  <si>
    <t>Ζ008</t>
  </si>
  <si>
    <t>Ζ017</t>
  </si>
  <si>
    <t>+Ζ001</t>
  </si>
  <si>
    <t>Ζ018,1</t>
  </si>
  <si>
    <t>+Ζ054</t>
  </si>
  <si>
    <t>Ζ018,2</t>
  </si>
  <si>
    <t>Ζ020</t>
  </si>
  <si>
    <t>ΔΥΤΙΚΑ</t>
  </si>
  <si>
    <t>Ζ021</t>
  </si>
  <si>
    <t>Ζ022,1</t>
  </si>
  <si>
    <t>+Ζ045, Ζ047,Η019</t>
  </si>
  <si>
    <t>Ζ022,2</t>
  </si>
  <si>
    <t>Ζ022,3</t>
  </si>
  <si>
    <t>Ζ023</t>
  </si>
  <si>
    <t>Ζ024,1</t>
  </si>
  <si>
    <t>+ΣΤ017</t>
  </si>
  <si>
    <t>Ζ024,2</t>
  </si>
  <si>
    <t>Ζ028,1</t>
  </si>
  <si>
    <t>Ζ028,2</t>
  </si>
  <si>
    <t>Ζ028,3</t>
  </si>
  <si>
    <t>Ζ028,4</t>
  </si>
  <si>
    <t>Ζ030</t>
  </si>
  <si>
    <t>+Ζ028</t>
  </si>
  <si>
    <t>Ζ032</t>
  </si>
  <si>
    <t>Ζ033</t>
  </si>
  <si>
    <t>Ζ035,1</t>
  </si>
  <si>
    <t>ΝΟΤΙΑ (F-G)</t>
  </si>
  <si>
    <t>+Ζ040, Ζ048,Θ001</t>
  </si>
  <si>
    <t>Ζ035,2</t>
  </si>
  <si>
    <t>Ζ035,3</t>
  </si>
  <si>
    <t>Ζ037,1</t>
  </si>
  <si>
    <t>Ζ037,2</t>
  </si>
  <si>
    <t>Ζ039</t>
  </si>
  <si>
    <t>Ζ040,1</t>
  </si>
  <si>
    <t>+Ζ035</t>
  </si>
  <si>
    <t>Ζ040,2</t>
  </si>
  <si>
    <t>Ζ040,3</t>
  </si>
  <si>
    <t>Ζ040,4</t>
  </si>
  <si>
    <t>Ζ042,1</t>
  </si>
  <si>
    <t>INLET ΑΡΙΣΤΕΡΑ</t>
  </si>
  <si>
    <t>Ζ042,2</t>
  </si>
  <si>
    <t>Ζ045</t>
  </si>
  <si>
    <t>+Ζ022</t>
  </si>
  <si>
    <t>Ζ046</t>
  </si>
  <si>
    <t>Ζ047,1</t>
  </si>
  <si>
    <t>Ζ047,2</t>
  </si>
  <si>
    <t>Ζ048,1</t>
  </si>
  <si>
    <t>Ζ048,2</t>
  </si>
  <si>
    <t>Ζ049,1</t>
  </si>
  <si>
    <t>+Η022</t>
  </si>
  <si>
    <t>Ζ049,2</t>
  </si>
  <si>
    <t>Ζ050</t>
  </si>
  <si>
    <t>Ζ053,1</t>
  </si>
  <si>
    <t>Ζ053,2</t>
  </si>
  <si>
    <t>Ζ054,1</t>
  </si>
  <si>
    <t>+Ζ018</t>
  </si>
  <si>
    <t>Ζ054,2</t>
  </si>
  <si>
    <t>Η001,1</t>
  </si>
  <si>
    <t>ΝΟΤΙΑ C-D</t>
  </si>
  <si>
    <t>Η001,2</t>
  </si>
  <si>
    <t>Η004,1</t>
  </si>
  <si>
    <t>BLOWDOWN</t>
  </si>
  <si>
    <t>+Η015</t>
  </si>
  <si>
    <t>Η004,2</t>
  </si>
  <si>
    <t>Η004,3</t>
  </si>
  <si>
    <t>H005,1</t>
  </si>
  <si>
    <t>+E001</t>
  </si>
  <si>
    <t>H005,2</t>
  </si>
  <si>
    <t>Η007</t>
  </si>
  <si>
    <t>ΝΟΤΙΑ F-G</t>
  </si>
  <si>
    <t>Η008</t>
  </si>
  <si>
    <t>ΝΟΤΙΑ E-F</t>
  </si>
  <si>
    <t>Η009,1</t>
  </si>
  <si>
    <t>ΝΟΤΙΑ D-E</t>
  </si>
  <si>
    <t>+ΣΤ011</t>
  </si>
  <si>
    <t>Η009,2</t>
  </si>
  <si>
    <t>Η011,1</t>
  </si>
  <si>
    <t>+Η006</t>
  </si>
  <si>
    <t>Η011,2</t>
  </si>
  <si>
    <t>Η013</t>
  </si>
  <si>
    <t>ΣΚΕΠΑΣΤΡΟ - ΒΟΡΕΙΑ</t>
  </si>
  <si>
    <t>Η015,1</t>
  </si>
  <si>
    <t>+Η004</t>
  </si>
  <si>
    <t>Η015,2</t>
  </si>
  <si>
    <t>Η016,1</t>
  </si>
  <si>
    <t>+Η001</t>
  </si>
  <si>
    <t>Η016,2</t>
  </si>
  <si>
    <t>Η017</t>
  </si>
  <si>
    <t>ΒΟΡΕΙΑ D-E</t>
  </si>
  <si>
    <t>Η018</t>
  </si>
  <si>
    <t>ΔΥΤΙΚΑ - G</t>
  </si>
  <si>
    <t>Η019</t>
  </si>
  <si>
    <t>NOTIA - G-F</t>
  </si>
  <si>
    <t>+Z022</t>
  </si>
  <si>
    <t>Η020</t>
  </si>
  <si>
    <t>Η021</t>
  </si>
  <si>
    <t>Η022</t>
  </si>
  <si>
    <t>+Ζ049</t>
  </si>
  <si>
    <t>Η023</t>
  </si>
  <si>
    <t>Η025,1</t>
  </si>
  <si>
    <t>+H030,Θ014</t>
  </si>
  <si>
    <t>Η025,2</t>
  </si>
  <si>
    <t>Η028,1</t>
  </si>
  <si>
    <t>+Η002</t>
  </si>
  <si>
    <t>Η028,2</t>
  </si>
  <si>
    <t>Η028,3</t>
  </si>
  <si>
    <t>Η029,1</t>
  </si>
  <si>
    <t>ΒΟΡΕΙΑ C-D</t>
  </si>
  <si>
    <t>+Θ015</t>
  </si>
  <si>
    <t>Η029,2</t>
  </si>
  <si>
    <t>H030,1</t>
  </si>
  <si>
    <t>+H025</t>
  </si>
  <si>
    <t>H030,2</t>
  </si>
  <si>
    <t>H030,3</t>
  </si>
  <si>
    <t>Η031</t>
  </si>
  <si>
    <t>INLET DUCT ΕΣΩΤΕΡΙΚΑ - 1η ΠΡΟΣΒΑΣΗ</t>
  </si>
  <si>
    <t>+Γ032</t>
  </si>
  <si>
    <t>H033</t>
  </si>
  <si>
    <t>ΒΟΡΕΙΑ - C-B</t>
  </si>
  <si>
    <t>H034,1</t>
  </si>
  <si>
    <t>H035</t>
  </si>
  <si>
    <t>ΑΝΑΤΟΛΙΚΑ - A</t>
  </si>
  <si>
    <t>+Ζ002</t>
  </si>
  <si>
    <t>Η039,1</t>
  </si>
  <si>
    <t>ΒΟΡΕΙΑ - A</t>
  </si>
  <si>
    <t>Η039,2</t>
  </si>
  <si>
    <t>Η040</t>
  </si>
  <si>
    <t>+Γ004</t>
  </si>
  <si>
    <t>Θ001</t>
  </si>
  <si>
    <t>+Z035</t>
  </si>
  <si>
    <t>Θ002</t>
  </si>
  <si>
    <t>ΝΟΤΙΑ (B-C)</t>
  </si>
  <si>
    <t>Θ003,1</t>
  </si>
  <si>
    <t>Θ003,2</t>
  </si>
  <si>
    <t>Θ003,3</t>
  </si>
  <si>
    <t>Θ004</t>
  </si>
  <si>
    <t>+H002</t>
  </si>
  <si>
    <t>Θ005</t>
  </si>
  <si>
    <t>ΝΟΤΙΑ - G</t>
  </si>
  <si>
    <t>Θ006</t>
  </si>
  <si>
    <t>ΝΟΤΙΑ B-C</t>
  </si>
  <si>
    <t>Θ009</t>
  </si>
  <si>
    <t>ΔΥΤΙΚΑ (G)</t>
  </si>
  <si>
    <t>+Ζ046</t>
  </si>
  <si>
    <t>Θ010</t>
  </si>
  <si>
    <t>Θ011</t>
  </si>
  <si>
    <t>ΒΟΡΕΙΑ - G</t>
  </si>
  <si>
    <t>Θ012</t>
  </si>
  <si>
    <t>ΜΕΤΑΤΡΟΠΕΣ</t>
  </si>
  <si>
    <t>Η025</t>
  </si>
  <si>
    <t>Θ031</t>
  </si>
  <si>
    <t>Ι002,1</t>
  </si>
  <si>
    <t>Ι006,1</t>
  </si>
  <si>
    <t>ΒΟΤΙΑ - G-F</t>
  </si>
  <si>
    <t>Ι002,2</t>
  </si>
  <si>
    <t>Ι004,1</t>
  </si>
  <si>
    <t>Ι004,2</t>
  </si>
  <si>
    <t>I005</t>
  </si>
  <si>
    <t>+I005</t>
  </si>
  <si>
    <t>+Θ011</t>
  </si>
  <si>
    <t>Ι006,2</t>
  </si>
  <si>
    <t>Ι006,3</t>
  </si>
  <si>
    <t>ΝΟΤΙΑ A</t>
  </si>
  <si>
    <t>Ι007</t>
  </si>
  <si>
    <t>ΝΟΤΙΑ G</t>
  </si>
  <si>
    <t>Ι008</t>
  </si>
  <si>
    <t>+Η020</t>
  </si>
  <si>
    <t>Ι009</t>
  </si>
  <si>
    <t>+Θ025</t>
  </si>
  <si>
    <t>Ι010</t>
  </si>
  <si>
    <t>+Θ022</t>
  </si>
  <si>
    <t>ΔΥΤΙΚΑ - ΣΚΕΠΑΣΤΡΟ</t>
  </si>
  <si>
    <t>ΜΕΤΑΤΡΟΠΕΣ - 0Μ</t>
  </si>
  <si>
    <t>ΜΕΤΑΤΡΟΠΕΣ - 32Μ</t>
  </si>
  <si>
    <t>Θ003</t>
  </si>
  <si>
    <t>Ζ022</t>
  </si>
  <si>
    <t>Ζ018</t>
  </si>
  <si>
    <t>Η002</t>
  </si>
  <si>
    <t>Ζ049</t>
  </si>
  <si>
    <t>ΣΥΝΟΛΟ ΠΙΣΤΟΠΟΙΗΣΗΣ ΔΕΚΕΜΒΡΙΟΥ</t>
  </si>
  <si>
    <t>Ι011</t>
  </si>
  <si>
    <t>Ι012</t>
  </si>
  <si>
    <t>+Ζ017,Ι002,Ι012</t>
  </si>
  <si>
    <t>ΒΟΡΕΙΑ F-G</t>
  </si>
  <si>
    <t>Ι013,1</t>
  </si>
  <si>
    <t>Ι013,2</t>
  </si>
  <si>
    <t>Ι013,3</t>
  </si>
  <si>
    <t>I014,1</t>
  </si>
  <si>
    <t>ΒΟΡΕΙΑ E-F</t>
  </si>
  <si>
    <t>+Ζ053</t>
  </si>
  <si>
    <t>I014,2</t>
  </si>
  <si>
    <t>I014,3</t>
  </si>
  <si>
    <t>Ι015</t>
  </si>
  <si>
    <t>Ζ035</t>
  </si>
  <si>
    <t>Ζ053</t>
  </si>
  <si>
    <t>ΒΟΡΕΙΑ F</t>
  </si>
  <si>
    <t>+Ζ028+Ζ053</t>
  </si>
  <si>
    <t>+Ζ030,Ζ033,Ι013,Ι015</t>
  </si>
  <si>
    <t>Ι016</t>
  </si>
  <si>
    <t>+Η029</t>
  </si>
  <si>
    <t>Η004</t>
  </si>
  <si>
    <t>Η001</t>
  </si>
  <si>
    <t>Ε001</t>
  </si>
  <si>
    <t>Θ013,1</t>
  </si>
  <si>
    <t>ΝΟΤΙΑ - B-C</t>
  </si>
  <si>
    <t>Θ013,2</t>
  </si>
  <si>
    <t>Θ014</t>
  </si>
  <si>
    <t>+Η025</t>
  </si>
  <si>
    <t>Θ015,1</t>
  </si>
  <si>
    <t>Θ015,2</t>
  </si>
  <si>
    <t>Θ016,1</t>
  </si>
  <si>
    <t>Θ016,2</t>
  </si>
  <si>
    <t>Θ016,3</t>
  </si>
  <si>
    <t>Θ017</t>
  </si>
  <si>
    <t>+Η024</t>
  </si>
  <si>
    <t>Θ018</t>
  </si>
  <si>
    <t>ΑΝΑΤΟΛΙΚΑ - ΣΚΕΠΑΣΤΡΟ</t>
  </si>
  <si>
    <t>Θ019</t>
  </si>
  <si>
    <t>+ΣΤ022,ΣΤ024,Ζ006,Ζ039</t>
  </si>
  <si>
    <t>Ζ037</t>
  </si>
  <si>
    <t>Ι017</t>
  </si>
  <si>
    <t>+Ι008,Ι017</t>
  </si>
  <si>
    <t>Ι018</t>
  </si>
  <si>
    <t>+Θ021</t>
  </si>
  <si>
    <t>ΝΟΤΙΑ - INLET</t>
  </si>
  <si>
    <t>+Θ006</t>
  </si>
  <si>
    <t>Ι019,1</t>
  </si>
  <si>
    <t>Ι019,2</t>
  </si>
  <si>
    <t>Ι004</t>
  </si>
  <si>
    <t>Θ023</t>
  </si>
  <si>
    <t>Ε003</t>
  </si>
  <si>
    <t>Ι020</t>
  </si>
  <si>
    <t>I021</t>
  </si>
  <si>
    <t>I022</t>
  </si>
  <si>
    <t>+H001</t>
  </si>
  <si>
    <t>I023</t>
  </si>
  <si>
    <t>I024</t>
  </si>
  <si>
    <t>+Z053</t>
  </si>
  <si>
    <t>+Θ013</t>
  </si>
  <si>
    <t>+Η016,Η021,I022</t>
  </si>
  <si>
    <t>+Θ020,I024</t>
  </si>
  <si>
    <t>I025</t>
  </si>
  <si>
    <t>I026</t>
  </si>
  <si>
    <t>Ι027</t>
  </si>
  <si>
    <t>Ι028</t>
  </si>
  <si>
    <t>+Ι019,Ι027</t>
  </si>
  <si>
    <t>+Ι014,Ι015,I023,Ι028</t>
  </si>
  <si>
    <t>Ι029</t>
  </si>
  <si>
    <t>Η029</t>
  </si>
  <si>
    <t>ΣΤ011</t>
  </si>
  <si>
    <t>Ι030</t>
  </si>
  <si>
    <t>ΑΝΑΤΟΛΙΚΑ - B</t>
  </si>
  <si>
    <t>Ι031</t>
  </si>
  <si>
    <t>Θ020,1</t>
  </si>
  <si>
    <t>+Θ003</t>
  </si>
  <si>
    <t>Θ020,2</t>
  </si>
  <si>
    <t>Θ021,1</t>
  </si>
  <si>
    <t>ΝΟΤΙΑ - INLET (B)</t>
  </si>
  <si>
    <t>+Θ026, Θ030,Ι018</t>
  </si>
  <si>
    <t>Θ021,2</t>
  </si>
  <si>
    <t>Θ022</t>
  </si>
  <si>
    <t>+I010</t>
  </si>
  <si>
    <t>ΝΟΤΙΑ - Β</t>
  </si>
  <si>
    <t>Θ024,1</t>
  </si>
  <si>
    <t>Θ024,2</t>
  </si>
  <si>
    <t>Θ024,3</t>
  </si>
  <si>
    <t>Θ025</t>
  </si>
  <si>
    <t>ΝΟΤΙΑ - D-E</t>
  </si>
  <si>
    <t>+Ι009,Ι026</t>
  </si>
  <si>
    <t>Θ026</t>
  </si>
  <si>
    <t>Θ028</t>
  </si>
  <si>
    <t>Θ029</t>
  </si>
  <si>
    <t>ΝΟΤΙΑ - E-F</t>
  </si>
  <si>
    <t>Θ030</t>
  </si>
  <si>
    <t>Θ016</t>
  </si>
  <si>
    <t>Ι032</t>
  </si>
  <si>
    <t>ΒΟΡΕΙΑ A-B</t>
  </si>
  <si>
    <t>Θ033</t>
  </si>
  <si>
    <t>Line No</t>
  </si>
  <si>
    <t>Weld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</si>
</sst>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"/>
    <numFmt numFmtId="165" formatCode="#,##0.00\ &quot;€&quot;"/>
  </numFmts>
  <fonts count="22" x14ac:knownFonts="1">
    <font>
      <sz val="11"/>
      <color theme="1"/>
      <name val="Calibri"/>
      <family val="2"/>
      <charset val="161"/>
      <scheme val="minor"/>
    </font>
    <font>
      <sz val="10"/>
      <name val="Calibri Light"/>
      <family val="2"/>
      <charset val="161"/>
      <scheme val="maj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charset val="161"/>
      <scheme val="major"/>
    </font>
    <font>
      <sz val="10"/>
      <color theme="1"/>
      <name val="Calibri Light"/>
      <family val="2"/>
      <charset val="161"/>
      <scheme val="major"/>
    </font>
    <font>
      <b/>
      <sz val="10"/>
      <name val="Calibri Light"/>
      <family val="2"/>
      <charset val="161"/>
      <scheme val="major"/>
    </font>
    <font>
      <sz val="11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vertAlign val="superscript"/>
      <sz val="10"/>
      <name val="Calibri"/>
      <family val="2"/>
      <charset val="161"/>
      <scheme val="minor"/>
    </font>
    <font>
      <sz val="14"/>
      <name val="Calibri"/>
      <family val="2"/>
      <charset val="161"/>
      <scheme val="minor"/>
    </font>
    <font>
      <u/>
      <sz val="11"/>
      <name val="Calibri"/>
      <family val="2"/>
      <charset val="161"/>
      <scheme val="minor"/>
    </font>
    <font>
      <sz val="20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vertAlign val="superscript"/>
      <sz val="12"/>
      <color theme="1"/>
      <name val="Calibri Light"/>
      <family val="2"/>
      <charset val="161"/>
      <scheme val="major"/>
    </font>
    <font>
      <sz val="12"/>
      <color theme="1"/>
      <name val="Calibri"/>
      <family val="2"/>
      <charset val="161"/>
      <scheme val="minor"/>
    </font>
    <font>
      <sz val="12"/>
      <color theme="1"/>
      <name val="Calibri Light"/>
      <family val="2"/>
      <charset val="161"/>
      <scheme val="major"/>
    </font>
    <font>
      <b/>
      <sz val="12"/>
      <color theme="1"/>
      <name val="Calibri Light"/>
      <family val="2"/>
      <charset val="161"/>
      <scheme val="major"/>
    </font>
    <font>
      <b/>
      <sz val="12"/>
      <name val="Calibri Light"/>
      <family val="2"/>
      <charset val="161"/>
      <scheme val="major"/>
    </font>
    <font>
      <sz val="12"/>
      <color rgb="FFFF0000"/>
      <name val="Calibri Light"/>
      <family val="2"/>
      <charset val="161"/>
      <scheme val="major"/>
    </font>
    <font>
      <sz val="8"/>
      <name val="Calibri"/>
      <family val="2"/>
      <charset val="161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16">
    <xf numFmtId="0" fontId="0" fillId="0" borderId="0" xfId="0"/>
    <xf numFmtId="0" fontId="3" fillId="0" borderId="0" xfId="1" applyFont="1" applyAlignment="1">
      <alignment horizontal="center" vertical="center"/>
    </xf>
    <xf numFmtId="165" fontId="4" fillId="7" borderId="5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3" fillId="6" borderId="5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4" fontId="6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vertical="center"/>
    </xf>
    <xf numFmtId="0" fontId="13" fillId="3" borderId="1" xfId="1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165" fontId="16" fillId="4" borderId="8" xfId="0" applyNumberFormat="1" applyFont="1" applyFill="1" applyBorder="1" applyAlignment="1">
      <alignment horizontal="left"/>
    </xf>
    <xf numFmtId="0" fontId="17" fillId="0" borderId="0" xfId="0" applyFont="1"/>
    <xf numFmtId="165" fontId="16" fillId="0" borderId="1" xfId="0" applyNumberFormat="1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left"/>
    </xf>
    <xf numFmtId="0" fontId="17" fillId="0" borderId="1" xfId="0" applyFont="1" applyBorder="1"/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8" fillId="0" borderId="0" xfId="0" applyFont="1"/>
    <xf numFmtId="14" fontId="1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20" fillId="0" borderId="1" xfId="0" applyFont="1" applyBorder="1"/>
    <xf numFmtId="0" fontId="17" fillId="0" borderId="0" xfId="0" applyFont="1" applyAlignment="1">
      <alignment horizontal="center" vertical="center"/>
    </xf>
    <xf numFmtId="0" fontId="17" fillId="0" borderId="9" xfId="0" applyFont="1" applyBorder="1"/>
    <xf numFmtId="0" fontId="17" fillId="0" borderId="4" xfId="0" applyFont="1" applyBorder="1"/>
    <xf numFmtId="0" fontId="17" fillId="0" borderId="10" xfId="0" applyFont="1" applyBorder="1"/>
    <xf numFmtId="0" fontId="17" fillId="10" borderId="9" xfId="0" applyFont="1" applyFill="1" applyBorder="1"/>
    <xf numFmtId="0" fontId="17" fillId="10" borderId="4" xfId="0" applyFont="1" applyFill="1" applyBorder="1"/>
    <xf numFmtId="0" fontId="17" fillId="10" borderId="10" xfId="0" applyFont="1" applyFill="1" applyBorder="1"/>
    <xf numFmtId="165" fontId="0" fillId="0" borderId="1" xfId="0" applyNumberForma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 vertical="center"/>
    </xf>
    <xf numFmtId="165" fontId="16" fillId="0" borderId="12" xfId="0" applyNumberFormat="1" applyFont="1" applyBorder="1" applyAlignment="1">
      <alignment horizontal="center" vertical="center" wrapText="1"/>
    </xf>
    <xf numFmtId="0" fontId="10" fillId="0" borderId="12" xfId="0" quotePrefix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2" xfId="0" quotePrefix="1" applyFont="1" applyBorder="1" applyAlignment="1">
      <alignment vertical="center"/>
    </xf>
    <xf numFmtId="0" fontId="6" fillId="0" borderId="1" xfId="0" quotePrefix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  <xf numFmtId="0" fontId="10" fillId="0" borderId="1" xfId="0" quotePrefix="1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vertical="center" wrapText="1"/>
    </xf>
    <xf numFmtId="0" fontId="6" fillId="11" borderId="18" xfId="0" applyFont="1" applyFill="1" applyBorder="1" applyAlignment="1">
      <alignment horizontal="center" vertical="center"/>
    </xf>
    <xf numFmtId="14" fontId="6" fillId="0" borderId="18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14" fontId="6" fillId="0" borderId="15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4" fontId="6" fillId="0" borderId="17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10" fillId="0" borderId="18" xfId="0" quotePrefix="1" applyFont="1" applyBorder="1" applyAlignment="1">
      <alignment vertical="center"/>
    </xf>
    <xf numFmtId="0" fontId="6" fillId="11" borderId="17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18" xfId="0" quotePrefix="1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10" fillId="0" borderId="16" xfId="0" quotePrefix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6" fillId="11" borderId="19" xfId="0" applyFont="1" applyFill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 wrapText="1"/>
    </xf>
    <xf numFmtId="2" fontId="6" fillId="0" borderId="19" xfId="0" applyNumberFormat="1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 wrapText="1"/>
    </xf>
    <xf numFmtId="2" fontId="6" fillId="0" borderId="16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 wrapText="1"/>
    </xf>
    <xf numFmtId="2" fontId="6" fillId="0" borderId="18" xfId="0" applyNumberFormat="1" applyFont="1" applyBorder="1" applyAlignment="1">
      <alignment horizontal="center" vertical="center"/>
    </xf>
    <xf numFmtId="0" fontId="10" fillId="0" borderId="18" xfId="0" quotePrefix="1" applyFont="1" applyBorder="1" applyAlignment="1">
      <alignment horizontal="center" vertical="center"/>
    </xf>
    <xf numFmtId="0" fontId="10" fillId="0" borderId="13" xfId="0" quotePrefix="1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7" xfId="0" quotePrefix="1" applyFont="1" applyBorder="1" applyAlignment="1">
      <alignment vertical="center"/>
    </xf>
    <xf numFmtId="44" fontId="6" fillId="0" borderId="1" xfId="0" applyNumberFormat="1" applyFont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10" fillId="0" borderId="15" xfId="0" quotePrefix="1" applyFont="1" applyBorder="1" applyAlignment="1">
      <alignment vertical="center"/>
    </xf>
    <xf numFmtId="0" fontId="0" fillId="0" borderId="17" xfId="0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 wrapText="1"/>
    </xf>
    <xf numFmtId="2" fontId="6" fillId="0" borderId="17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9" xfId="0" applyNumberFormat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165" fontId="13" fillId="3" borderId="1" xfId="1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4" fontId="6" fillId="4" borderId="18" xfId="0" applyNumberFormat="1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10" fillId="0" borderId="22" xfId="0" quotePrefix="1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6" fillId="0" borderId="22" xfId="0" quotePrefix="1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165" fontId="6" fillId="0" borderId="12" xfId="0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0" fillId="0" borderId="24" xfId="0" quotePrefix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vertical="center"/>
    </xf>
    <xf numFmtId="0" fontId="10" fillId="0" borderId="21" xfId="0" quotePrefix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vertical="center"/>
    </xf>
    <xf numFmtId="165" fontId="9" fillId="4" borderId="3" xfId="0" applyNumberFormat="1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 wrapText="1"/>
    </xf>
    <xf numFmtId="2" fontId="6" fillId="0" borderId="15" xfId="0" applyNumberFormat="1" applyFont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0" borderId="20" xfId="0" quotePrefix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 wrapText="1"/>
    </xf>
    <xf numFmtId="14" fontId="6" fillId="0" borderId="17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15" xfId="0" quotePrefix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4" fontId="6" fillId="4" borderId="13" xfId="0" applyNumberFormat="1" applyFont="1" applyFill="1" applyBorder="1" applyAlignment="1">
      <alignment horizontal="center" vertical="center" wrapText="1"/>
    </xf>
    <xf numFmtId="14" fontId="6" fillId="4" borderId="12" xfId="0" applyNumberFormat="1" applyFont="1" applyFill="1" applyBorder="1" applyAlignment="1">
      <alignment horizontal="center" vertical="center" wrapText="1"/>
    </xf>
    <xf numFmtId="0" fontId="10" fillId="0" borderId="13" xfId="0" quotePrefix="1" applyFont="1" applyBorder="1" applyAlignment="1">
      <alignment horizontal="center" vertical="center"/>
    </xf>
    <xf numFmtId="0" fontId="10" fillId="0" borderId="12" xfId="0" quotePrefix="1" applyFont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/>
    </xf>
    <xf numFmtId="0" fontId="6" fillId="0" borderId="15" xfId="0" quotePrefix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4" fontId="6" fillId="4" borderId="14" xfId="0" applyNumberFormat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0" fillId="0" borderId="21" xfId="0" quotePrefix="1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center" vertical="center"/>
    </xf>
  </cellXfs>
  <cellStyles count="2">
    <cellStyle name="Κανονικό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0"/>
  <sheetViews>
    <sheetView tabSelected="1" zoomScaleNormal="70" workbookViewId="0">
      <selection activeCell="H2" sqref="H2"/>
    </sheetView>
  </sheetViews>
  <sheetFormatPr baseColWidth="10" defaultColWidth="8.83203125" defaultRowHeight="15" x14ac:dyDescent="0.2"/>
  <cols>
    <col min="1" max="1" width="11.33203125" style="19" customWidth="1"/>
    <col min="2" max="2" width="14.5" style="20" customWidth="1"/>
    <col min="3" max="4" width="13.33203125" style="19" customWidth="1"/>
    <col min="5" max="5" width="30.1640625" style="19" bestFit="1" customWidth="1"/>
    <col min="6" max="6" width="70.6640625" style="19" customWidth="1"/>
    <col min="7" max="7" width="13.33203125" style="19" customWidth="1"/>
    <col min="8" max="8" width="14.6640625" style="19" customWidth="1"/>
    <col min="9" max="9" width="8.83203125" style="19" customWidth="1"/>
    <col min="10" max="11" width="8.83203125" style="19"/>
    <col min="12" max="12" width="11.5" style="37" customWidth="1"/>
    <col min="13" max="13" width="11.5" style="22" customWidth="1"/>
    <col min="14" max="14" width="20.6640625" style="37" customWidth="1"/>
    <col min="15" max="15" width="17" style="158" bestFit="1" customWidth="1"/>
    <col min="16" max="16" width="20.6640625" style="160" customWidth="1"/>
    <col min="17" max="17" width="29.1640625" style="160" customWidth="1"/>
    <col min="18" max="18" width="8.83203125" style="160"/>
    <col min="19" max="19" width="34.6640625" style="160" customWidth="1"/>
    <col min="20" max="20" width="13.5" style="160" customWidth="1"/>
    <col min="21" max="27" width="8.83203125" style="160"/>
    <col min="28" max="28" width="8.83203125" style="159"/>
    <col min="29" max="16384" width="8.83203125" style="19"/>
  </cols>
  <sheetData>
    <row r="1" spans="1:29" x14ac:dyDescent="0.2">
      <c r="A1" s="19" t="s">
        <v>456</v>
      </c>
      <c r="H1" s="19" t="s">
        <v>457</v>
      </c>
    </row>
    <row r="2" spans="1:29" s="27" customFormat="1" ht="32" x14ac:dyDescent="0.2">
      <c r="A2" s="29" t="s">
        <v>30</v>
      </c>
      <c r="B2" s="32" t="s">
        <v>46</v>
      </c>
      <c r="C2" s="32" t="s">
        <v>3</v>
      </c>
      <c r="D2" s="32" t="s">
        <v>65</v>
      </c>
      <c r="E2" s="29" t="s">
        <v>47</v>
      </c>
      <c r="F2" s="29" t="s">
        <v>48</v>
      </c>
      <c r="G2" s="29" t="s">
        <v>4</v>
      </c>
      <c r="H2" s="32" t="s">
        <v>49</v>
      </c>
      <c r="I2" s="29" t="s">
        <v>50</v>
      </c>
      <c r="J2" s="29" t="s">
        <v>51</v>
      </c>
      <c r="K2" s="29" t="s">
        <v>52</v>
      </c>
      <c r="L2" s="127" t="s">
        <v>53</v>
      </c>
      <c r="M2" s="129" t="s">
        <v>9</v>
      </c>
      <c r="N2" s="128" t="s">
        <v>54</v>
      </c>
      <c r="O2" s="151" t="s">
        <v>55</v>
      </c>
      <c r="P2" s="30" t="s">
        <v>10</v>
      </c>
      <c r="Q2" s="167">
        <f>SUM(N3:N51)</f>
        <v>8040.1500000000005</v>
      </c>
      <c r="R2" s="183" t="s">
        <v>11</v>
      </c>
      <c r="S2" s="183"/>
      <c r="T2" s="183"/>
      <c r="U2" s="160"/>
      <c r="V2" s="160"/>
      <c r="W2" s="160"/>
      <c r="X2" s="160"/>
      <c r="Y2" s="160"/>
      <c r="Z2" s="160"/>
      <c r="AA2" s="160"/>
      <c r="AB2" s="159"/>
      <c r="AC2" s="19"/>
    </row>
    <row r="3" spans="1:29" ht="40.25" customHeight="1" thickBot="1" x14ac:dyDescent="0.25">
      <c r="A3" s="88" t="s">
        <v>68</v>
      </c>
      <c r="B3" s="89">
        <v>45988</v>
      </c>
      <c r="C3" s="89"/>
      <c r="D3" s="98">
        <v>48</v>
      </c>
      <c r="E3" s="88" t="s">
        <v>70</v>
      </c>
      <c r="F3" s="88" t="s">
        <v>71</v>
      </c>
      <c r="G3" s="98">
        <v>32</v>
      </c>
      <c r="H3" s="98">
        <v>4</v>
      </c>
      <c r="I3" s="102">
        <v>1</v>
      </c>
      <c r="J3" s="88">
        <v>2.5</v>
      </c>
      <c r="K3" s="102">
        <v>5</v>
      </c>
      <c r="L3" s="118">
        <f>INDEX($T$3:$T$14,MATCH(H3,$R$3:$R$14,0))</f>
        <v>8</v>
      </c>
      <c r="M3" s="119">
        <f>IF((I3*J3*K3)&lt;=25,25,(I3*J3*K3))</f>
        <v>25</v>
      </c>
      <c r="N3" s="118">
        <f t="shared" ref="N3:N13" si="0">L3*M3</f>
        <v>200</v>
      </c>
      <c r="O3" s="152" t="s">
        <v>72</v>
      </c>
      <c r="P3" s="161"/>
      <c r="Q3" s="162"/>
      <c r="R3" s="30">
        <v>1</v>
      </c>
      <c r="S3" s="24" t="s">
        <v>12</v>
      </c>
      <c r="T3" s="31">
        <v>5.9</v>
      </c>
    </row>
    <row r="4" spans="1:29" ht="40.25" customHeight="1" x14ac:dyDescent="0.2">
      <c r="A4" s="105" t="s">
        <v>329</v>
      </c>
      <c r="B4" s="106">
        <v>45989</v>
      </c>
      <c r="C4" s="106"/>
      <c r="D4" s="107">
        <v>48</v>
      </c>
      <c r="E4" s="186" t="s">
        <v>70</v>
      </c>
      <c r="F4" s="186" t="s">
        <v>331</v>
      </c>
      <c r="G4" s="107">
        <v>0</v>
      </c>
      <c r="H4" s="107">
        <v>1</v>
      </c>
      <c r="I4" s="108">
        <v>3</v>
      </c>
      <c r="J4" s="105">
        <v>3</v>
      </c>
      <c r="K4" s="108">
        <v>5</v>
      </c>
      <c r="L4" s="116">
        <f t="shared" ref="L4:L13" si="1">INDEX($T$3:$T$14,MATCH(H4,$R$3:$R$14,0))</f>
        <v>5.9</v>
      </c>
      <c r="M4" s="117">
        <f t="shared" ref="M4:M13" si="2">IF((I4*J4*K4)&lt;=25,25,(I4*J4*K4))</f>
        <v>45</v>
      </c>
      <c r="N4" s="116">
        <f t="shared" si="0"/>
        <v>265.5</v>
      </c>
      <c r="O4" s="184" t="s">
        <v>180</v>
      </c>
      <c r="P4" s="161"/>
      <c r="R4" s="30">
        <v>2</v>
      </c>
      <c r="S4" s="24" t="s">
        <v>13</v>
      </c>
      <c r="T4" s="31">
        <v>6.6</v>
      </c>
      <c r="V4" s="164"/>
    </row>
    <row r="5" spans="1:29" ht="40.25" customHeight="1" thickBot="1" x14ac:dyDescent="0.25">
      <c r="A5" s="88" t="s">
        <v>332</v>
      </c>
      <c r="B5" s="89">
        <v>45989</v>
      </c>
      <c r="C5" s="89"/>
      <c r="D5" s="98">
        <v>48</v>
      </c>
      <c r="E5" s="187"/>
      <c r="F5" s="187"/>
      <c r="G5" s="98">
        <v>0</v>
      </c>
      <c r="H5" s="98">
        <v>7</v>
      </c>
      <c r="I5" s="102">
        <v>1</v>
      </c>
      <c r="J5" s="88">
        <v>1.5</v>
      </c>
      <c r="K5" s="102">
        <v>2</v>
      </c>
      <c r="L5" s="118">
        <f t="shared" si="1"/>
        <v>8.9</v>
      </c>
      <c r="M5" s="119">
        <f>I5*J5*K5</f>
        <v>3</v>
      </c>
      <c r="N5" s="118">
        <f t="shared" si="0"/>
        <v>26.700000000000003</v>
      </c>
      <c r="O5" s="185"/>
      <c r="P5" s="23" t="s">
        <v>357</v>
      </c>
      <c r="Q5" s="126">
        <f>Q2+ΑΠΟΛΟΓΙΣΤΙΚΑ!M1+ΕΝΟΙΚΙΑ!P1</f>
        <v>28815.314999999995</v>
      </c>
      <c r="R5" s="30">
        <v>3</v>
      </c>
      <c r="S5" s="24" t="s">
        <v>14</v>
      </c>
      <c r="T5" s="31">
        <v>7.3</v>
      </c>
      <c r="V5" s="164"/>
    </row>
    <row r="6" spans="1:29" ht="40.25" customHeight="1" thickBot="1" x14ac:dyDescent="0.25">
      <c r="A6" s="90" t="s">
        <v>69</v>
      </c>
      <c r="B6" s="91">
        <v>45992</v>
      </c>
      <c r="C6" s="91"/>
      <c r="D6" s="113">
        <v>49</v>
      </c>
      <c r="E6" s="93" t="s">
        <v>70</v>
      </c>
      <c r="F6" s="93" t="s">
        <v>236</v>
      </c>
      <c r="G6" s="93">
        <v>0</v>
      </c>
      <c r="H6" s="93">
        <v>1</v>
      </c>
      <c r="I6" s="93">
        <v>2</v>
      </c>
      <c r="J6" s="93">
        <v>2.5</v>
      </c>
      <c r="K6" s="93">
        <v>5</v>
      </c>
      <c r="L6" s="120">
        <f t="shared" si="1"/>
        <v>5.9</v>
      </c>
      <c r="M6" s="121">
        <f t="shared" si="2"/>
        <v>25</v>
      </c>
      <c r="N6" s="120">
        <f t="shared" si="0"/>
        <v>147.5</v>
      </c>
      <c r="O6" s="153"/>
      <c r="P6" s="161"/>
      <c r="R6" s="30">
        <v>4</v>
      </c>
      <c r="S6" s="24" t="s">
        <v>58</v>
      </c>
      <c r="T6" s="31">
        <v>8</v>
      </c>
      <c r="V6" s="164"/>
    </row>
    <row r="7" spans="1:29" ht="40.25" customHeight="1" x14ac:dyDescent="0.2">
      <c r="A7" s="115" t="s">
        <v>333</v>
      </c>
      <c r="B7" s="106">
        <v>45992</v>
      </c>
      <c r="C7" s="106"/>
      <c r="D7" s="107">
        <v>49</v>
      </c>
      <c r="E7" s="186" t="s">
        <v>70</v>
      </c>
      <c r="F7" s="186" t="s">
        <v>236</v>
      </c>
      <c r="G7" s="105">
        <v>32</v>
      </c>
      <c r="H7" s="105">
        <v>12</v>
      </c>
      <c r="I7" s="105">
        <v>0.75</v>
      </c>
      <c r="J7" s="105">
        <v>2.5</v>
      </c>
      <c r="K7" s="105">
        <v>4</v>
      </c>
      <c r="L7" s="116">
        <f t="shared" si="1"/>
        <v>10.3</v>
      </c>
      <c r="M7" s="117">
        <f>I7*J7*K7</f>
        <v>7.5</v>
      </c>
      <c r="N7" s="116">
        <f t="shared" si="0"/>
        <v>77.25</v>
      </c>
      <c r="O7" s="154"/>
      <c r="P7" s="161"/>
      <c r="R7" s="30">
        <v>5</v>
      </c>
      <c r="S7" s="24" t="s">
        <v>56</v>
      </c>
      <c r="T7" s="31">
        <v>5.9</v>
      </c>
      <c r="V7" s="164"/>
    </row>
    <row r="8" spans="1:29" ht="40.25" customHeight="1" thickBot="1" x14ac:dyDescent="0.25">
      <c r="A8" s="88" t="s">
        <v>334</v>
      </c>
      <c r="B8" s="89">
        <v>45992</v>
      </c>
      <c r="C8" s="89"/>
      <c r="D8" s="98">
        <v>49</v>
      </c>
      <c r="E8" s="187"/>
      <c r="F8" s="187"/>
      <c r="G8" s="88">
        <v>32</v>
      </c>
      <c r="H8" s="88">
        <v>4</v>
      </c>
      <c r="I8" s="88">
        <f>1.5-I7</f>
        <v>0.75</v>
      </c>
      <c r="J8" s="88">
        <v>2.5</v>
      </c>
      <c r="K8" s="88">
        <v>4</v>
      </c>
      <c r="L8" s="118">
        <f t="shared" si="1"/>
        <v>8</v>
      </c>
      <c r="M8" s="119">
        <f>25-M7</f>
        <v>17.5</v>
      </c>
      <c r="N8" s="118">
        <f t="shared" si="0"/>
        <v>140</v>
      </c>
      <c r="O8" s="155"/>
      <c r="P8" s="161"/>
      <c r="R8" s="30">
        <v>6</v>
      </c>
      <c r="S8" s="24" t="s">
        <v>57</v>
      </c>
      <c r="T8" s="31">
        <v>6.5</v>
      </c>
      <c r="V8" s="164"/>
    </row>
    <row r="9" spans="1:29" ht="40.25" customHeight="1" thickBot="1" x14ac:dyDescent="0.25">
      <c r="A9" s="93" t="s">
        <v>335</v>
      </c>
      <c r="B9" s="91">
        <v>45992</v>
      </c>
      <c r="C9" s="139">
        <v>46001</v>
      </c>
      <c r="D9" s="113">
        <v>49</v>
      </c>
      <c r="E9" s="93" t="s">
        <v>70</v>
      </c>
      <c r="F9" s="92" t="s">
        <v>324</v>
      </c>
      <c r="G9" s="93">
        <v>32</v>
      </c>
      <c r="H9" s="93">
        <v>4</v>
      </c>
      <c r="I9" s="93">
        <v>1</v>
      </c>
      <c r="J9" s="93">
        <v>1.5</v>
      </c>
      <c r="K9" s="93">
        <v>2</v>
      </c>
      <c r="L9" s="120">
        <f t="shared" si="1"/>
        <v>8</v>
      </c>
      <c r="M9" s="121">
        <f t="shared" si="2"/>
        <v>25</v>
      </c>
      <c r="N9" s="120">
        <f t="shared" si="0"/>
        <v>200</v>
      </c>
      <c r="O9" s="143" t="s">
        <v>337</v>
      </c>
      <c r="P9" s="161"/>
      <c r="R9" s="30">
        <v>7</v>
      </c>
      <c r="S9" s="23" t="s">
        <v>15</v>
      </c>
      <c r="T9" s="31">
        <v>8.9</v>
      </c>
      <c r="V9" s="164"/>
    </row>
    <row r="10" spans="1:29" ht="40.25" customHeight="1" x14ac:dyDescent="0.2">
      <c r="A10" s="115" t="s">
        <v>330</v>
      </c>
      <c r="B10" s="106">
        <v>45993</v>
      </c>
      <c r="C10" s="106"/>
      <c r="D10" s="107">
        <v>49</v>
      </c>
      <c r="E10" s="186" t="s">
        <v>70</v>
      </c>
      <c r="F10" s="186" t="s">
        <v>340</v>
      </c>
      <c r="G10" s="105">
        <v>0</v>
      </c>
      <c r="H10" s="105">
        <v>1</v>
      </c>
      <c r="I10" s="105">
        <v>1</v>
      </c>
      <c r="J10" s="105">
        <v>2.5</v>
      </c>
      <c r="K10" s="105">
        <v>4</v>
      </c>
      <c r="L10" s="116">
        <f t="shared" si="1"/>
        <v>5.9</v>
      </c>
      <c r="M10" s="117">
        <f>I10*J10*K10</f>
        <v>10</v>
      </c>
      <c r="N10" s="116">
        <f t="shared" si="0"/>
        <v>59</v>
      </c>
      <c r="O10" s="156"/>
      <c r="P10" s="161"/>
      <c r="R10" s="30">
        <v>8</v>
      </c>
      <c r="S10" s="23" t="s">
        <v>16</v>
      </c>
      <c r="T10" s="31">
        <v>9.9</v>
      </c>
      <c r="V10" s="164"/>
    </row>
    <row r="11" spans="1:29" ht="40.25" customHeight="1" x14ac:dyDescent="0.2">
      <c r="A11" s="19" t="s">
        <v>338</v>
      </c>
      <c r="B11" s="28">
        <v>45993</v>
      </c>
      <c r="C11" s="28"/>
      <c r="D11" s="21">
        <v>49</v>
      </c>
      <c r="E11" s="188"/>
      <c r="F11" s="188"/>
      <c r="G11" s="19">
        <v>0</v>
      </c>
      <c r="H11" s="19">
        <v>1</v>
      </c>
      <c r="I11" s="19">
        <v>2.5</v>
      </c>
      <c r="J11" s="19">
        <v>3</v>
      </c>
      <c r="K11" s="19">
        <v>6</v>
      </c>
      <c r="L11" s="69">
        <f t="shared" si="1"/>
        <v>5.9</v>
      </c>
      <c r="M11" s="22">
        <f t="shared" si="2"/>
        <v>45</v>
      </c>
      <c r="N11" s="69">
        <f t="shared" si="0"/>
        <v>265.5</v>
      </c>
      <c r="O11" s="146"/>
      <c r="P11" s="161"/>
      <c r="R11" s="30">
        <v>9</v>
      </c>
      <c r="S11" s="23" t="s">
        <v>17</v>
      </c>
      <c r="T11" s="31">
        <v>11.6</v>
      </c>
      <c r="V11" s="164"/>
    </row>
    <row r="12" spans="1:29" ht="40.25" customHeight="1" thickBot="1" x14ac:dyDescent="0.25">
      <c r="A12" s="88" t="s">
        <v>339</v>
      </c>
      <c r="B12" s="89">
        <v>45993</v>
      </c>
      <c r="C12" s="89"/>
      <c r="D12" s="98">
        <v>49</v>
      </c>
      <c r="E12" s="187"/>
      <c r="F12" s="187"/>
      <c r="G12" s="88">
        <v>0</v>
      </c>
      <c r="H12" s="88">
        <v>7</v>
      </c>
      <c r="I12" s="88">
        <v>1</v>
      </c>
      <c r="J12" s="88">
        <v>3</v>
      </c>
      <c r="K12" s="88">
        <v>2</v>
      </c>
      <c r="L12" s="118">
        <f t="shared" si="1"/>
        <v>8.9</v>
      </c>
      <c r="M12" s="119">
        <f>I12*J12*K12</f>
        <v>6</v>
      </c>
      <c r="N12" s="118">
        <f t="shared" si="0"/>
        <v>53.400000000000006</v>
      </c>
      <c r="O12" s="147"/>
      <c r="P12" s="161"/>
      <c r="R12" s="30">
        <v>10</v>
      </c>
      <c r="S12" s="23" t="s">
        <v>59</v>
      </c>
      <c r="T12" s="31">
        <v>12.5</v>
      </c>
      <c r="V12" s="164"/>
    </row>
    <row r="13" spans="1:29" ht="40.25" customHeight="1" thickBot="1" x14ac:dyDescent="0.25">
      <c r="A13" s="90" t="s">
        <v>341</v>
      </c>
      <c r="B13" s="91">
        <v>45993</v>
      </c>
      <c r="C13" s="139">
        <v>45999</v>
      </c>
      <c r="D13" s="113">
        <v>49</v>
      </c>
      <c r="E13" s="93" t="s">
        <v>70</v>
      </c>
      <c r="F13" s="93" t="s">
        <v>342</v>
      </c>
      <c r="G13" s="93">
        <v>0</v>
      </c>
      <c r="H13" s="93">
        <v>4</v>
      </c>
      <c r="I13" s="93">
        <v>1.5</v>
      </c>
      <c r="J13" s="93">
        <v>2</v>
      </c>
      <c r="K13" s="93">
        <v>3</v>
      </c>
      <c r="L13" s="120">
        <f t="shared" si="1"/>
        <v>8</v>
      </c>
      <c r="M13" s="121">
        <f t="shared" si="2"/>
        <v>25</v>
      </c>
      <c r="N13" s="120">
        <f t="shared" si="0"/>
        <v>200</v>
      </c>
      <c r="O13" s="153"/>
      <c r="P13" s="161"/>
      <c r="R13" s="30">
        <v>11</v>
      </c>
      <c r="S13" s="24" t="s">
        <v>18</v>
      </c>
      <c r="T13" s="31">
        <v>12.9</v>
      </c>
    </row>
    <row r="14" spans="1:29" ht="40.25" customHeight="1" thickBot="1" x14ac:dyDescent="0.25">
      <c r="A14" s="93" t="s">
        <v>343</v>
      </c>
      <c r="B14" s="91">
        <v>45993</v>
      </c>
      <c r="C14" s="91"/>
      <c r="D14" s="113">
        <v>49</v>
      </c>
      <c r="E14" s="93" t="s">
        <v>70</v>
      </c>
      <c r="F14" s="93" t="s">
        <v>266</v>
      </c>
      <c r="G14" s="93">
        <v>30</v>
      </c>
      <c r="H14" s="93">
        <v>10</v>
      </c>
      <c r="I14" s="93">
        <v>1</v>
      </c>
      <c r="J14" s="93">
        <v>3</v>
      </c>
      <c r="K14" s="93">
        <v>2</v>
      </c>
      <c r="L14" s="120">
        <f t="shared" ref="L14:L15" si="3">INDEX($T$3:$T$14,MATCH(H14,$R$3:$R$14,0))</f>
        <v>12.5</v>
      </c>
      <c r="M14" s="121">
        <f t="shared" ref="M14:M15" si="4">IF((I14*J14*K14)&lt;=25,25,(I14*J14*K14))</f>
        <v>25</v>
      </c>
      <c r="N14" s="120">
        <f t="shared" ref="N14:N15" si="5">L14*M14</f>
        <v>312.5</v>
      </c>
      <c r="O14" s="143" t="s">
        <v>344</v>
      </c>
      <c r="P14" s="161"/>
      <c r="R14" s="30">
        <v>12</v>
      </c>
      <c r="S14" s="23" t="s">
        <v>19</v>
      </c>
      <c r="T14" s="31">
        <v>10.3</v>
      </c>
    </row>
    <row r="15" spans="1:29" ht="40.25" customHeight="1" thickBot="1" x14ac:dyDescent="0.25">
      <c r="A15" s="93" t="s">
        <v>345</v>
      </c>
      <c r="B15" s="91">
        <v>45993</v>
      </c>
      <c r="C15" s="91"/>
      <c r="D15" s="113">
        <v>49</v>
      </c>
      <c r="E15" s="93" t="s">
        <v>70</v>
      </c>
      <c r="F15" s="93" t="s">
        <v>251</v>
      </c>
      <c r="G15" s="92">
        <v>32</v>
      </c>
      <c r="H15" s="92">
        <v>4</v>
      </c>
      <c r="I15" s="93">
        <v>1.5</v>
      </c>
      <c r="J15" s="93">
        <v>2.5</v>
      </c>
      <c r="K15" s="93">
        <v>4</v>
      </c>
      <c r="L15" s="120">
        <f t="shared" si="3"/>
        <v>8</v>
      </c>
      <c r="M15" s="121">
        <f t="shared" si="4"/>
        <v>25</v>
      </c>
      <c r="N15" s="120">
        <f t="shared" si="5"/>
        <v>200</v>
      </c>
      <c r="O15" s="143" t="s">
        <v>346</v>
      </c>
      <c r="P15" s="161"/>
      <c r="R15" s="183" t="s">
        <v>60</v>
      </c>
      <c r="S15" s="183"/>
      <c r="T15" s="183"/>
    </row>
    <row r="16" spans="1:29" ht="40.25" customHeight="1" thickBot="1" x14ac:dyDescent="0.25">
      <c r="A16" s="97" t="s">
        <v>347</v>
      </c>
      <c r="B16" s="100">
        <v>45993</v>
      </c>
      <c r="C16" s="100"/>
      <c r="D16" s="99">
        <v>49</v>
      </c>
      <c r="E16" s="131" t="s">
        <v>70</v>
      </c>
      <c r="F16" s="131" t="s">
        <v>349</v>
      </c>
      <c r="G16" s="131">
        <v>0</v>
      </c>
      <c r="H16" s="131">
        <v>1</v>
      </c>
      <c r="I16" s="97">
        <v>2</v>
      </c>
      <c r="J16" s="97">
        <v>4.5</v>
      </c>
      <c r="K16" s="97">
        <v>3</v>
      </c>
      <c r="L16" s="132">
        <f t="shared" ref="L16:L18" si="6">INDEX($T$3:$T$14,MATCH(H16,$R$3:$R$14,0))</f>
        <v>5.9</v>
      </c>
      <c r="M16" s="133">
        <f t="shared" ref="M16:M18" si="7">IF((I16*J16*K16)&lt;=25,25,(I16*J16*K16))</f>
        <v>27</v>
      </c>
      <c r="N16" s="132">
        <f t="shared" ref="N16:N18" si="8">L16*M16</f>
        <v>159.30000000000001</v>
      </c>
      <c r="O16" s="157" t="s">
        <v>348</v>
      </c>
      <c r="P16" s="161"/>
    </row>
    <row r="17" spans="1:20" ht="40.25" customHeight="1" thickBot="1" x14ac:dyDescent="0.25">
      <c r="A17" s="93" t="s">
        <v>358</v>
      </c>
      <c r="B17" s="91">
        <v>45994</v>
      </c>
      <c r="C17" s="139">
        <v>46001</v>
      </c>
      <c r="D17" s="113">
        <v>49</v>
      </c>
      <c r="E17" s="93" t="s">
        <v>70</v>
      </c>
      <c r="F17" s="92" t="s">
        <v>324</v>
      </c>
      <c r="G17" s="92">
        <v>32</v>
      </c>
      <c r="H17" s="92">
        <v>4</v>
      </c>
      <c r="I17" s="114">
        <v>1.5</v>
      </c>
      <c r="J17" s="93">
        <v>1.5</v>
      </c>
      <c r="K17" s="114">
        <v>4</v>
      </c>
      <c r="L17" s="120">
        <f t="shared" si="6"/>
        <v>8</v>
      </c>
      <c r="M17" s="121">
        <f t="shared" si="7"/>
        <v>25</v>
      </c>
      <c r="N17" s="120">
        <f t="shared" si="8"/>
        <v>200</v>
      </c>
      <c r="O17" s="143" t="s">
        <v>337</v>
      </c>
      <c r="P17" s="161"/>
      <c r="S17" s="163"/>
    </row>
    <row r="18" spans="1:20" ht="40.25" customHeight="1" thickBot="1" x14ac:dyDescent="0.25">
      <c r="A18" s="93" t="s">
        <v>359</v>
      </c>
      <c r="B18" s="91">
        <v>45994</v>
      </c>
      <c r="C18" s="91"/>
      <c r="D18" s="113">
        <v>49</v>
      </c>
      <c r="E18" s="93" t="s">
        <v>70</v>
      </c>
      <c r="F18" s="93" t="s">
        <v>316</v>
      </c>
      <c r="G18" s="113">
        <v>0</v>
      </c>
      <c r="H18" s="93">
        <v>7</v>
      </c>
      <c r="I18" s="114">
        <v>1</v>
      </c>
      <c r="J18" s="93">
        <v>2</v>
      </c>
      <c r="K18" s="114">
        <v>2</v>
      </c>
      <c r="L18" s="120">
        <f t="shared" si="6"/>
        <v>8.9</v>
      </c>
      <c r="M18" s="121">
        <f t="shared" si="7"/>
        <v>25</v>
      </c>
      <c r="N18" s="134">
        <f t="shared" si="8"/>
        <v>222.5</v>
      </c>
      <c r="O18" s="143" t="s">
        <v>180</v>
      </c>
      <c r="P18" s="161"/>
    </row>
    <row r="19" spans="1:20" ht="40.25" customHeight="1" x14ac:dyDescent="0.2">
      <c r="A19" s="105" t="s">
        <v>362</v>
      </c>
      <c r="B19" s="106">
        <v>45994</v>
      </c>
      <c r="C19" s="106"/>
      <c r="D19" s="107">
        <v>49</v>
      </c>
      <c r="E19" s="105" t="s">
        <v>70</v>
      </c>
      <c r="F19" s="107" t="s">
        <v>361</v>
      </c>
      <c r="G19" s="105">
        <v>22</v>
      </c>
      <c r="H19" s="105">
        <v>12</v>
      </c>
      <c r="I19" s="105">
        <v>0.75</v>
      </c>
      <c r="J19" s="105">
        <v>3</v>
      </c>
      <c r="K19" s="105">
        <v>10</v>
      </c>
      <c r="L19" s="116">
        <f t="shared" ref="L19:L21" si="9">INDEX($T$3:$T$14,MATCH(H19,$R$3:$R$14,0))</f>
        <v>10.3</v>
      </c>
      <c r="M19" s="117">
        <f t="shared" ref="M19:M21" si="10">I19*J19*K19</f>
        <v>22.5</v>
      </c>
      <c r="N19" s="135">
        <f t="shared" ref="N19:N21" si="11">L19*M19</f>
        <v>231.75000000000003</v>
      </c>
      <c r="O19" s="184" t="s">
        <v>200</v>
      </c>
      <c r="P19" s="161"/>
      <c r="R19" s="163"/>
      <c r="S19" s="163"/>
      <c r="T19" s="163"/>
    </row>
    <row r="20" spans="1:20" ht="40.25" customHeight="1" x14ac:dyDescent="0.2">
      <c r="A20" s="19" t="s">
        <v>363</v>
      </c>
      <c r="B20" s="28">
        <v>45994</v>
      </c>
      <c r="C20" s="28"/>
      <c r="D20" s="73">
        <v>49</v>
      </c>
      <c r="G20" s="19">
        <v>22</v>
      </c>
      <c r="H20" s="19">
        <v>3</v>
      </c>
      <c r="I20" s="19">
        <f>2.5-I19</f>
        <v>1.75</v>
      </c>
      <c r="J20" s="19">
        <v>3</v>
      </c>
      <c r="K20" s="19">
        <v>10</v>
      </c>
      <c r="L20" s="69">
        <f t="shared" si="9"/>
        <v>7.3</v>
      </c>
      <c r="M20" s="22">
        <f t="shared" si="10"/>
        <v>52.5</v>
      </c>
      <c r="N20" s="37">
        <f t="shared" si="11"/>
        <v>383.25</v>
      </c>
      <c r="O20" s="189"/>
      <c r="P20" s="161"/>
    </row>
    <row r="21" spans="1:20" ht="40.25" customHeight="1" thickBot="1" x14ac:dyDescent="0.25">
      <c r="A21" s="88" t="s">
        <v>364</v>
      </c>
      <c r="B21" s="89">
        <v>45994</v>
      </c>
      <c r="C21" s="89"/>
      <c r="D21" s="99">
        <v>49</v>
      </c>
      <c r="E21" s="88"/>
      <c r="F21" s="88"/>
      <c r="G21" s="88">
        <v>30</v>
      </c>
      <c r="H21" s="88">
        <v>10</v>
      </c>
      <c r="I21" s="88">
        <v>2.5</v>
      </c>
      <c r="J21" s="88">
        <v>3</v>
      </c>
      <c r="K21" s="88">
        <v>2</v>
      </c>
      <c r="L21" s="118">
        <f t="shared" si="9"/>
        <v>12.5</v>
      </c>
      <c r="M21" s="119">
        <f t="shared" si="10"/>
        <v>15</v>
      </c>
      <c r="N21" s="136">
        <f t="shared" si="11"/>
        <v>187.5</v>
      </c>
      <c r="O21" s="185"/>
      <c r="P21" s="161"/>
      <c r="R21" s="163"/>
      <c r="T21" s="163"/>
    </row>
    <row r="22" spans="1:20" ht="40.25" customHeight="1" x14ac:dyDescent="0.2">
      <c r="A22" s="105" t="s">
        <v>365</v>
      </c>
      <c r="B22" s="106">
        <v>45994</v>
      </c>
      <c r="C22" s="106"/>
      <c r="D22" s="107">
        <v>49</v>
      </c>
      <c r="E22" s="105" t="s">
        <v>70</v>
      </c>
      <c r="F22" s="107" t="s">
        <v>366</v>
      </c>
      <c r="G22" s="105">
        <v>24</v>
      </c>
      <c r="H22" s="105">
        <v>12</v>
      </c>
      <c r="I22" s="105">
        <v>0.75</v>
      </c>
      <c r="J22" s="105">
        <v>2.5</v>
      </c>
      <c r="K22" s="105">
        <v>8</v>
      </c>
      <c r="L22" s="116">
        <f t="shared" ref="L22:L31" si="12">INDEX($T$3:$T$14,MATCH(H22,$R$3:$R$14,0))</f>
        <v>10.3</v>
      </c>
      <c r="M22" s="117">
        <f t="shared" ref="M22:M24" si="13">I22*J22*K22</f>
        <v>15</v>
      </c>
      <c r="N22" s="135">
        <f t="shared" ref="N22:N26" si="14">L22*M22</f>
        <v>154.5</v>
      </c>
      <c r="O22" s="184" t="s">
        <v>367</v>
      </c>
      <c r="P22" s="161"/>
      <c r="S22" s="163"/>
    </row>
    <row r="23" spans="1:20" ht="40.25" customHeight="1" x14ac:dyDescent="0.2">
      <c r="A23" s="19" t="s">
        <v>368</v>
      </c>
      <c r="B23" s="28">
        <v>45994</v>
      </c>
      <c r="C23" s="28"/>
      <c r="D23" s="73">
        <v>49</v>
      </c>
      <c r="G23" s="19">
        <v>24</v>
      </c>
      <c r="H23" s="19">
        <v>3</v>
      </c>
      <c r="I23" s="19">
        <f>2.5-I22</f>
        <v>1.75</v>
      </c>
      <c r="J23" s="19">
        <v>2.5</v>
      </c>
      <c r="K23" s="19">
        <v>8</v>
      </c>
      <c r="L23" s="69">
        <f t="shared" si="12"/>
        <v>7.3</v>
      </c>
      <c r="M23" s="22">
        <f t="shared" si="13"/>
        <v>35</v>
      </c>
      <c r="N23" s="37">
        <f t="shared" si="14"/>
        <v>255.5</v>
      </c>
      <c r="O23" s="189"/>
      <c r="P23" s="161"/>
    </row>
    <row r="24" spans="1:20" ht="40.25" customHeight="1" thickBot="1" x14ac:dyDescent="0.25">
      <c r="A24" s="88" t="s">
        <v>369</v>
      </c>
      <c r="B24" s="89">
        <v>45994</v>
      </c>
      <c r="C24" s="89"/>
      <c r="D24" s="99">
        <v>49</v>
      </c>
      <c r="E24" s="88"/>
      <c r="F24" s="88"/>
      <c r="G24" s="88">
        <v>30</v>
      </c>
      <c r="H24" s="88">
        <v>10</v>
      </c>
      <c r="I24" s="88">
        <v>2.5</v>
      </c>
      <c r="J24" s="88">
        <v>3</v>
      </c>
      <c r="K24" s="88">
        <v>2</v>
      </c>
      <c r="L24" s="118">
        <f t="shared" si="12"/>
        <v>12.5</v>
      </c>
      <c r="M24" s="119">
        <f t="shared" si="13"/>
        <v>15</v>
      </c>
      <c r="N24" s="136">
        <f t="shared" si="14"/>
        <v>187.5</v>
      </c>
      <c r="O24" s="185"/>
      <c r="P24" s="161"/>
      <c r="R24" s="163"/>
      <c r="T24" s="163"/>
    </row>
    <row r="25" spans="1:20" ht="40.25" customHeight="1" thickBot="1" x14ac:dyDescent="0.25">
      <c r="A25" s="93" t="s">
        <v>370</v>
      </c>
      <c r="B25" s="91">
        <v>45995</v>
      </c>
      <c r="C25" s="91"/>
      <c r="D25" s="113">
        <v>49</v>
      </c>
      <c r="E25" s="93" t="s">
        <v>70</v>
      </c>
      <c r="F25" s="113" t="s">
        <v>373</v>
      </c>
      <c r="G25" s="93">
        <v>30</v>
      </c>
      <c r="H25" s="93">
        <v>10</v>
      </c>
      <c r="I25" s="93">
        <v>1</v>
      </c>
      <c r="J25" s="93">
        <v>6</v>
      </c>
      <c r="K25" s="93">
        <v>1</v>
      </c>
      <c r="L25" s="120">
        <f t="shared" si="12"/>
        <v>12.5</v>
      </c>
      <c r="M25" s="121">
        <f t="shared" ref="M25:M26" si="15">IF((I25*J25*K25)&lt;=25,25,(I25*J25*K25))</f>
        <v>25</v>
      </c>
      <c r="N25" s="134">
        <f t="shared" si="14"/>
        <v>312.5</v>
      </c>
      <c r="O25" s="143" t="s">
        <v>374</v>
      </c>
      <c r="P25" s="161"/>
    </row>
    <row r="26" spans="1:20" ht="40.25" customHeight="1" thickBot="1" x14ac:dyDescent="0.25">
      <c r="A26" s="93" t="s">
        <v>376</v>
      </c>
      <c r="B26" s="91">
        <v>45996</v>
      </c>
      <c r="C26" s="91"/>
      <c r="D26" s="113">
        <v>49</v>
      </c>
      <c r="E26" s="93" t="s">
        <v>70</v>
      </c>
      <c r="F26" s="93" t="s">
        <v>285</v>
      </c>
      <c r="G26" s="93">
        <v>30</v>
      </c>
      <c r="H26" s="93">
        <v>10</v>
      </c>
      <c r="I26" s="93">
        <v>1</v>
      </c>
      <c r="J26" s="93">
        <v>1.5</v>
      </c>
      <c r="K26" s="93">
        <v>2</v>
      </c>
      <c r="L26" s="120">
        <f t="shared" si="12"/>
        <v>12.5</v>
      </c>
      <c r="M26" s="121">
        <f t="shared" si="15"/>
        <v>25</v>
      </c>
      <c r="N26" s="134">
        <f t="shared" si="14"/>
        <v>312.5</v>
      </c>
      <c r="O26" s="143" t="s">
        <v>377</v>
      </c>
      <c r="P26" s="161"/>
    </row>
    <row r="27" spans="1:20" ht="40.25" customHeight="1" thickBot="1" x14ac:dyDescent="0.25">
      <c r="A27" s="93" t="s">
        <v>398</v>
      </c>
      <c r="B27" s="91">
        <v>45999</v>
      </c>
      <c r="C27" s="91"/>
      <c r="D27" s="113">
        <v>50</v>
      </c>
      <c r="E27" s="93" t="s">
        <v>70</v>
      </c>
      <c r="F27" s="93" t="s">
        <v>266</v>
      </c>
      <c r="G27" s="93">
        <v>30</v>
      </c>
      <c r="H27" s="93">
        <v>4</v>
      </c>
      <c r="I27" s="93">
        <v>1.5</v>
      </c>
      <c r="J27" s="93">
        <v>2</v>
      </c>
      <c r="K27" s="93">
        <v>2</v>
      </c>
      <c r="L27" s="120">
        <f t="shared" si="12"/>
        <v>8</v>
      </c>
      <c r="M27" s="121">
        <f t="shared" ref="M27" si="16">IF((I27*J27*K27)&lt;=25,25,(I27*J27*K27))</f>
        <v>25</v>
      </c>
      <c r="N27" s="134">
        <f t="shared" ref="N27" si="17">L27*M27</f>
        <v>200</v>
      </c>
      <c r="O27" s="143" t="s">
        <v>344</v>
      </c>
      <c r="P27" s="161"/>
    </row>
    <row r="28" spans="1:20" ht="40.25" customHeight="1" thickBot="1" x14ac:dyDescent="0.25">
      <c r="A28" s="93" t="s">
        <v>400</v>
      </c>
      <c r="B28" s="91">
        <v>45999</v>
      </c>
      <c r="C28" s="91"/>
      <c r="D28" s="113">
        <v>50</v>
      </c>
      <c r="E28" s="93" t="s">
        <v>70</v>
      </c>
      <c r="F28" s="93" t="s">
        <v>402</v>
      </c>
      <c r="G28" s="93">
        <v>0</v>
      </c>
      <c r="H28" s="93">
        <v>7</v>
      </c>
      <c r="I28" s="93">
        <v>2</v>
      </c>
      <c r="J28" s="93">
        <v>3</v>
      </c>
      <c r="K28" s="93">
        <v>2</v>
      </c>
      <c r="L28" s="120">
        <f t="shared" si="12"/>
        <v>8.9</v>
      </c>
      <c r="M28" s="121">
        <f t="shared" ref="M28:M31" si="18">IF((I28*J28*K28)&lt;=25,25,(I28*J28*K28))</f>
        <v>25</v>
      </c>
      <c r="N28" s="134">
        <f t="shared" ref="N28:N31" si="19">L28*M28</f>
        <v>222.5</v>
      </c>
      <c r="O28" s="143" t="s">
        <v>401</v>
      </c>
      <c r="P28" s="161"/>
    </row>
    <row r="29" spans="1:20" ht="40.25" customHeight="1" x14ac:dyDescent="0.2">
      <c r="A29" s="140" t="s">
        <v>404</v>
      </c>
      <c r="B29" s="190">
        <v>46000</v>
      </c>
      <c r="C29" s="95"/>
      <c r="D29" s="192">
        <v>50</v>
      </c>
      <c r="E29" s="192" t="s">
        <v>70</v>
      </c>
      <c r="F29" s="192" t="s">
        <v>318</v>
      </c>
      <c r="G29" s="140">
        <v>0</v>
      </c>
      <c r="H29" s="140">
        <v>1</v>
      </c>
      <c r="I29" s="105">
        <v>2.5</v>
      </c>
      <c r="J29" s="105">
        <v>3</v>
      </c>
      <c r="K29" s="105">
        <v>4</v>
      </c>
      <c r="L29" s="116">
        <f t="shared" si="12"/>
        <v>5.9</v>
      </c>
      <c r="M29" s="117">
        <f t="shared" si="18"/>
        <v>30</v>
      </c>
      <c r="N29" s="135">
        <f t="shared" si="19"/>
        <v>177</v>
      </c>
      <c r="O29" s="184" t="s">
        <v>403</v>
      </c>
      <c r="P29" s="161"/>
    </row>
    <row r="30" spans="1:20" ht="40.25" customHeight="1" thickBot="1" x14ac:dyDescent="0.25">
      <c r="A30" s="88" t="s">
        <v>405</v>
      </c>
      <c r="B30" s="191"/>
      <c r="C30" s="89"/>
      <c r="D30" s="193"/>
      <c r="E30" s="193"/>
      <c r="F30" s="193"/>
      <c r="G30" s="88">
        <v>0</v>
      </c>
      <c r="H30" s="88">
        <v>7</v>
      </c>
      <c r="I30" s="88">
        <v>1</v>
      </c>
      <c r="J30" s="88">
        <v>2.5</v>
      </c>
      <c r="K30" s="88">
        <v>2</v>
      </c>
      <c r="L30" s="118">
        <f t="shared" si="12"/>
        <v>8.9</v>
      </c>
      <c r="M30" s="119">
        <f t="shared" si="18"/>
        <v>25</v>
      </c>
      <c r="N30" s="136">
        <f t="shared" si="19"/>
        <v>222.5</v>
      </c>
      <c r="O30" s="185"/>
      <c r="P30" s="161"/>
    </row>
    <row r="31" spans="1:20" ht="40.25" customHeight="1" thickBot="1" x14ac:dyDescent="0.25">
      <c r="A31" s="90" t="s">
        <v>409</v>
      </c>
      <c r="B31" s="91">
        <v>46001</v>
      </c>
      <c r="C31" s="139">
        <v>46003</v>
      </c>
      <c r="D31" s="113">
        <v>50</v>
      </c>
      <c r="E31" s="93" t="s">
        <v>70</v>
      </c>
      <c r="F31" s="93" t="s">
        <v>249</v>
      </c>
      <c r="G31" s="93">
        <v>4</v>
      </c>
      <c r="H31" s="93">
        <v>1</v>
      </c>
      <c r="I31" s="93">
        <v>2</v>
      </c>
      <c r="J31" s="93">
        <v>2.5</v>
      </c>
      <c r="K31" s="93">
        <v>4</v>
      </c>
      <c r="L31" s="120">
        <f t="shared" si="12"/>
        <v>5.9</v>
      </c>
      <c r="M31" s="121">
        <f t="shared" si="18"/>
        <v>25</v>
      </c>
      <c r="N31" s="134">
        <f t="shared" si="19"/>
        <v>147.5</v>
      </c>
      <c r="O31" s="144"/>
      <c r="P31" s="161"/>
    </row>
    <row r="32" spans="1:20" ht="40.25" customHeight="1" thickBot="1" x14ac:dyDescent="0.25">
      <c r="A32" s="93" t="s">
        <v>410</v>
      </c>
      <c r="B32" s="91">
        <v>46001</v>
      </c>
      <c r="C32" s="139">
        <v>46003</v>
      </c>
      <c r="D32" s="113">
        <v>50</v>
      </c>
      <c r="E32" s="93" t="s">
        <v>70</v>
      </c>
      <c r="F32" s="93" t="s">
        <v>247</v>
      </c>
      <c r="G32" s="93">
        <v>4</v>
      </c>
      <c r="H32" s="93">
        <v>1</v>
      </c>
      <c r="I32" s="93">
        <v>1.5</v>
      </c>
      <c r="J32" s="93">
        <v>2</v>
      </c>
      <c r="K32" s="93">
        <v>4</v>
      </c>
      <c r="L32" s="120">
        <f t="shared" ref="L32:L43" si="20">INDEX($T$3:$T$14,MATCH(H32,$R$3:$R$14,0))</f>
        <v>5.9</v>
      </c>
      <c r="M32" s="121">
        <f t="shared" ref="M32:M43" si="21">IF((I32*J32*K32)&lt;=25,25,(I32*J32*K32))</f>
        <v>25</v>
      </c>
      <c r="N32" s="134">
        <f t="shared" ref="N32:N43" si="22">L32*M32</f>
        <v>147.5</v>
      </c>
      <c r="O32" s="144" t="s">
        <v>307</v>
      </c>
      <c r="P32" s="161"/>
    </row>
    <row r="33" spans="1:16" ht="40.25" customHeight="1" thickBot="1" x14ac:dyDescent="0.25">
      <c r="A33" s="93" t="s">
        <v>411</v>
      </c>
      <c r="B33" s="91">
        <v>46001</v>
      </c>
      <c r="C33" s="91"/>
      <c r="D33" s="113">
        <v>50</v>
      </c>
      <c r="E33" s="93" t="s">
        <v>70</v>
      </c>
      <c r="F33" s="93" t="s">
        <v>251</v>
      </c>
      <c r="G33" s="93">
        <v>4</v>
      </c>
      <c r="H33" s="93">
        <v>1</v>
      </c>
      <c r="I33" s="93">
        <v>1.5</v>
      </c>
      <c r="J33" s="93">
        <v>1.5</v>
      </c>
      <c r="K33" s="93">
        <v>3</v>
      </c>
      <c r="L33" s="120">
        <f t="shared" si="20"/>
        <v>5.9</v>
      </c>
      <c r="M33" s="121">
        <f t="shared" si="21"/>
        <v>25</v>
      </c>
      <c r="N33" s="134">
        <f t="shared" si="22"/>
        <v>147.5</v>
      </c>
      <c r="O33" s="144" t="s">
        <v>412</v>
      </c>
      <c r="P33" s="161"/>
    </row>
    <row r="34" spans="1:16" ht="40.25" customHeight="1" thickBot="1" x14ac:dyDescent="0.25">
      <c r="A34" s="93" t="s">
        <v>413</v>
      </c>
      <c r="B34" s="91">
        <v>46001</v>
      </c>
      <c r="C34" s="91"/>
      <c r="D34" s="113">
        <v>50</v>
      </c>
      <c r="E34" s="93" t="s">
        <v>70</v>
      </c>
      <c r="F34" s="93" t="s">
        <v>366</v>
      </c>
      <c r="G34" s="93">
        <v>30</v>
      </c>
      <c r="H34" s="93">
        <v>10</v>
      </c>
      <c r="I34" s="93">
        <v>1</v>
      </c>
      <c r="J34" s="93">
        <v>4</v>
      </c>
      <c r="K34" s="93">
        <v>2</v>
      </c>
      <c r="L34" s="120">
        <f t="shared" si="20"/>
        <v>12.5</v>
      </c>
      <c r="M34" s="121">
        <f t="shared" si="21"/>
        <v>25</v>
      </c>
      <c r="N34" s="134">
        <f t="shared" si="22"/>
        <v>312.5</v>
      </c>
      <c r="O34" s="144" t="s">
        <v>415</v>
      </c>
      <c r="P34" s="161"/>
    </row>
    <row r="35" spans="1:16" ht="40.25" customHeight="1" thickBot="1" x14ac:dyDescent="0.25">
      <c r="A35" s="93" t="s">
        <v>414</v>
      </c>
      <c r="B35" s="91">
        <v>46001</v>
      </c>
      <c r="C35" s="91"/>
      <c r="D35" s="113">
        <v>50</v>
      </c>
      <c r="E35" s="93" t="s">
        <v>70</v>
      </c>
      <c r="F35" s="93" t="s">
        <v>318</v>
      </c>
      <c r="G35" s="93">
        <v>0</v>
      </c>
      <c r="H35" s="93">
        <v>1</v>
      </c>
      <c r="I35" s="93">
        <v>1.5</v>
      </c>
      <c r="J35" s="93">
        <v>3</v>
      </c>
      <c r="K35" s="93">
        <v>3</v>
      </c>
      <c r="L35" s="120">
        <f t="shared" si="20"/>
        <v>5.9</v>
      </c>
      <c r="M35" s="121">
        <f t="shared" si="21"/>
        <v>25</v>
      </c>
      <c r="N35" s="134">
        <f t="shared" si="22"/>
        <v>147.5</v>
      </c>
      <c r="O35" s="144" t="s">
        <v>416</v>
      </c>
      <c r="P35" s="161"/>
    </row>
    <row r="36" spans="1:16" ht="40.25" customHeight="1" thickBot="1" x14ac:dyDescent="0.25">
      <c r="A36" s="93" t="s">
        <v>419</v>
      </c>
      <c r="B36" s="91">
        <v>46002</v>
      </c>
      <c r="C36" s="91"/>
      <c r="D36" s="113">
        <v>50</v>
      </c>
      <c r="E36" s="93" t="s">
        <v>70</v>
      </c>
      <c r="F36" s="93" t="s">
        <v>146</v>
      </c>
      <c r="G36" s="93">
        <v>0</v>
      </c>
      <c r="H36" s="93">
        <v>1</v>
      </c>
      <c r="I36" s="93">
        <v>1.5</v>
      </c>
      <c r="J36" s="93">
        <v>1.5</v>
      </c>
      <c r="K36" s="93">
        <v>2</v>
      </c>
      <c r="L36" s="120">
        <f t="shared" si="20"/>
        <v>5.9</v>
      </c>
      <c r="M36" s="121">
        <f t="shared" si="21"/>
        <v>25</v>
      </c>
      <c r="N36" s="134">
        <f t="shared" si="22"/>
        <v>147.5</v>
      </c>
      <c r="O36" s="149"/>
      <c r="P36" s="161"/>
    </row>
    <row r="37" spans="1:16" ht="40.25" customHeight="1" thickBot="1" x14ac:dyDescent="0.25">
      <c r="A37" s="93" t="s">
        <v>420</v>
      </c>
      <c r="B37" s="91">
        <v>46002</v>
      </c>
      <c r="C37" s="91"/>
      <c r="D37" s="113">
        <v>50</v>
      </c>
      <c r="E37" s="93" t="s">
        <v>70</v>
      </c>
      <c r="F37" s="93" t="s">
        <v>251</v>
      </c>
      <c r="G37" s="93">
        <v>30</v>
      </c>
      <c r="H37" s="93">
        <v>4</v>
      </c>
      <c r="I37" s="93">
        <v>1.5</v>
      </c>
      <c r="J37" s="93">
        <v>2.5</v>
      </c>
      <c r="K37" s="93">
        <v>3</v>
      </c>
      <c r="L37" s="120">
        <f t="shared" si="20"/>
        <v>8</v>
      </c>
      <c r="M37" s="121">
        <f t="shared" si="21"/>
        <v>25</v>
      </c>
      <c r="N37" s="134">
        <f t="shared" si="22"/>
        <v>200</v>
      </c>
      <c r="O37" s="149" t="s">
        <v>346</v>
      </c>
      <c r="P37" s="161"/>
    </row>
    <row r="38" spans="1:16" ht="40.25" customHeight="1" thickBot="1" x14ac:dyDescent="0.25">
      <c r="A38" s="93" t="s">
        <v>421</v>
      </c>
      <c r="B38" s="91">
        <v>46002</v>
      </c>
      <c r="C38" s="91"/>
      <c r="D38" s="113">
        <v>50</v>
      </c>
      <c r="E38" s="93" t="s">
        <v>70</v>
      </c>
      <c r="F38" s="93" t="s">
        <v>318</v>
      </c>
      <c r="G38" s="93">
        <v>0</v>
      </c>
      <c r="H38" s="93">
        <v>1</v>
      </c>
      <c r="I38" s="93">
        <v>2</v>
      </c>
      <c r="J38" s="93">
        <v>2.5</v>
      </c>
      <c r="K38" s="93">
        <v>3</v>
      </c>
      <c r="L38" s="120">
        <f t="shared" si="20"/>
        <v>5.9</v>
      </c>
      <c r="M38" s="121">
        <f t="shared" si="21"/>
        <v>25</v>
      </c>
      <c r="N38" s="134">
        <f t="shared" si="22"/>
        <v>147.5</v>
      </c>
      <c r="O38" s="149" t="s">
        <v>403</v>
      </c>
      <c r="P38" s="161"/>
    </row>
    <row r="39" spans="1:16" ht="40.25" customHeight="1" thickBot="1" x14ac:dyDescent="0.25">
      <c r="A39" s="93" t="s">
        <v>422</v>
      </c>
      <c r="B39" s="91">
        <v>46002</v>
      </c>
      <c r="C39" s="91"/>
      <c r="D39" s="113">
        <v>50</v>
      </c>
      <c r="E39" s="93" t="s">
        <v>70</v>
      </c>
      <c r="F39" s="93" t="s">
        <v>366</v>
      </c>
      <c r="G39" s="93">
        <v>30</v>
      </c>
      <c r="H39" s="93">
        <v>10</v>
      </c>
      <c r="I39" s="93">
        <v>1</v>
      </c>
      <c r="J39" s="93">
        <v>2</v>
      </c>
      <c r="K39" s="93">
        <v>2</v>
      </c>
      <c r="L39" s="120">
        <f t="shared" si="20"/>
        <v>12.5</v>
      </c>
      <c r="M39" s="121">
        <f t="shared" si="21"/>
        <v>25</v>
      </c>
      <c r="N39" s="134">
        <f t="shared" si="22"/>
        <v>312.5</v>
      </c>
      <c r="O39" s="149" t="s">
        <v>367</v>
      </c>
      <c r="P39" s="161"/>
    </row>
    <row r="40" spans="1:16" ht="40.25" customHeight="1" thickBot="1" x14ac:dyDescent="0.25">
      <c r="A40" s="93" t="s">
        <v>425</v>
      </c>
      <c r="B40" s="91">
        <v>46003</v>
      </c>
      <c r="C40" s="91"/>
      <c r="D40" s="113">
        <v>50</v>
      </c>
      <c r="E40" s="93" t="s">
        <v>70</v>
      </c>
      <c r="F40" s="93" t="s">
        <v>318</v>
      </c>
      <c r="G40" s="93">
        <v>0</v>
      </c>
      <c r="H40" s="93">
        <v>1</v>
      </c>
      <c r="I40" s="93">
        <v>1.5</v>
      </c>
      <c r="J40" s="93">
        <v>3</v>
      </c>
      <c r="K40" s="93">
        <v>4</v>
      </c>
      <c r="L40" s="120">
        <f t="shared" si="20"/>
        <v>5.9</v>
      </c>
      <c r="M40" s="121">
        <f t="shared" si="21"/>
        <v>25</v>
      </c>
      <c r="N40" s="134">
        <f t="shared" si="22"/>
        <v>147.5</v>
      </c>
      <c r="O40" s="144" t="s">
        <v>416</v>
      </c>
      <c r="P40" s="161"/>
    </row>
    <row r="41" spans="1:16" ht="40.25" customHeight="1" thickBot="1" x14ac:dyDescent="0.25">
      <c r="A41" s="93" t="s">
        <v>428</v>
      </c>
      <c r="B41" s="91">
        <v>46008</v>
      </c>
      <c r="C41" s="91"/>
      <c r="D41" s="113">
        <v>51</v>
      </c>
      <c r="E41" s="93" t="s">
        <v>70</v>
      </c>
      <c r="F41" s="93" t="s">
        <v>429</v>
      </c>
      <c r="G41" s="93">
        <v>32</v>
      </c>
      <c r="H41" s="93">
        <v>4</v>
      </c>
      <c r="I41" s="93">
        <v>1</v>
      </c>
      <c r="J41" s="93">
        <v>2.5</v>
      </c>
      <c r="K41" s="93">
        <v>3</v>
      </c>
      <c r="L41" s="120">
        <f t="shared" si="20"/>
        <v>8</v>
      </c>
      <c r="M41" s="121">
        <f t="shared" si="21"/>
        <v>25</v>
      </c>
      <c r="N41" s="134">
        <f t="shared" si="22"/>
        <v>200</v>
      </c>
      <c r="O41" s="144"/>
      <c r="P41" s="161"/>
    </row>
    <row r="42" spans="1:16" ht="40.25" customHeight="1" thickBot="1" x14ac:dyDescent="0.25">
      <c r="A42" s="93" t="s">
        <v>430</v>
      </c>
      <c r="B42" s="91">
        <v>46008</v>
      </c>
      <c r="C42" s="91"/>
      <c r="D42" s="113">
        <v>51</v>
      </c>
      <c r="E42" s="93" t="s">
        <v>70</v>
      </c>
      <c r="F42" s="93" t="s">
        <v>318</v>
      </c>
      <c r="G42" s="93">
        <v>32</v>
      </c>
      <c r="H42" s="93">
        <v>4</v>
      </c>
      <c r="I42" s="93">
        <v>1</v>
      </c>
      <c r="J42" s="93">
        <v>1.5</v>
      </c>
      <c r="K42" s="93">
        <v>2</v>
      </c>
      <c r="L42" s="120">
        <f t="shared" si="20"/>
        <v>8</v>
      </c>
      <c r="M42" s="121">
        <f t="shared" si="21"/>
        <v>25</v>
      </c>
      <c r="N42" s="134">
        <f t="shared" si="22"/>
        <v>200</v>
      </c>
      <c r="O42" s="144" t="s">
        <v>72</v>
      </c>
      <c r="P42" s="161"/>
    </row>
    <row r="43" spans="1:16" ht="40.25" customHeight="1" x14ac:dyDescent="0.2">
      <c r="A43" s="168" t="s">
        <v>453</v>
      </c>
      <c r="B43" s="95">
        <v>46011</v>
      </c>
      <c r="C43" s="95"/>
      <c r="D43" s="141">
        <v>51</v>
      </c>
      <c r="E43" s="140" t="s">
        <v>70</v>
      </c>
      <c r="F43" s="140" t="s">
        <v>236</v>
      </c>
      <c r="G43" s="140">
        <v>4</v>
      </c>
      <c r="H43" s="140">
        <v>1</v>
      </c>
      <c r="I43" s="140">
        <v>2.5</v>
      </c>
      <c r="J43" s="140">
        <v>3.5</v>
      </c>
      <c r="K43" s="140">
        <v>4</v>
      </c>
      <c r="L43" s="169">
        <f t="shared" si="20"/>
        <v>5.9</v>
      </c>
      <c r="M43" s="170">
        <f t="shared" si="21"/>
        <v>35</v>
      </c>
      <c r="N43" s="171">
        <f t="shared" si="22"/>
        <v>206.5</v>
      </c>
      <c r="O43" s="172"/>
      <c r="P43" s="161"/>
    </row>
    <row r="44" spans="1:16" ht="40.25" customHeight="1" x14ac:dyDescent="0.2">
      <c r="A44" s="160"/>
      <c r="B44" s="174"/>
      <c r="C44" s="174"/>
      <c r="D44" s="175"/>
      <c r="E44" s="175"/>
      <c r="F44" s="175"/>
      <c r="G44" s="160"/>
      <c r="H44" s="160"/>
      <c r="I44" s="160"/>
      <c r="J44" s="160"/>
      <c r="K44" s="160"/>
      <c r="L44" s="176"/>
      <c r="M44" s="177"/>
      <c r="N44" s="164"/>
      <c r="O44" s="178"/>
      <c r="P44" s="161"/>
    </row>
    <row r="45" spans="1:16" ht="40.25" customHeight="1" x14ac:dyDescent="0.2">
      <c r="A45" s="160"/>
      <c r="B45" s="174"/>
      <c r="C45" s="174"/>
      <c r="D45" s="175"/>
      <c r="E45" s="5"/>
      <c r="F45" s="5"/>
      <c r="G45" s="160"/>
      <c r="H45" s="160"/>
      <c r="I45" s="160"/>
      <c r="J45" s="160"/>
      <c r="K45" s="160"/>
      <c r="L45" s="176"/>
      <c r="M45" s="177"/>
      <c r="N45" s="164"/>
      <c r="O45" s="179"/>
      <c r="P45" s="161"/>
    </row>
    <row r="46" spans="1:16" ht="40.25" customHeight="1" x14ac:dyDescent="0.2">
      <c r="A46" s="160"/>
      <c r="B46" s="174"/>
      <c r="C46" s="174"/>
      <c r="D46" s="175"/>
      <c r="E46" s="160"/>
      <c r="F46" s="160"/>
      <c r="G46" s="160"/>
      <c r="H46" s="160"/>
      <c r="I46" s="160"/>
      <c r="J46" s="160"/>
      <c r="K46" s="160"/>
      <c r="L46" s="176"/>
      <c r="M46" s="177"/>
      <c r="N46" s="164"/>
      <c r="O46" s="180"/>
      <c r="P46" s="161"/>
    </row>
    <row r="47" spans="1:16" ht="40.25" customHeight="1" x14ac:dyDescent="0.2">
      <c r="A47" s="160"/>
      <c r="B47" s="174"/>
      <c r="C47" s="174"/>
      <c r="D47" s="175"/>
      <c r="E47" s="160"/>
      <c r="F47" s="160"/>
      <c r="G47" s="160"/>
      <c r="H47" s="160"/>
      <c r="I47" s="160"/>
      <c r="J47" s="160"/>
      <c r="K47" s="160"/>
      <c r="L47" s="176"/>
      <c r="M47" s="177"/>
      <c r="N47" s="164"/>
      <c r="O47" s="180"/>
      <c r="P47" s="161"/>
    </row>
    <row r="48" spans="1:16" ht="40.25" customHeight="1" x14ac:dyDescent="0.2">
      <c r="A48" s="160"/>
      <c r="B48" s="174"/>
      <c r="C48" s="174"/>
      <c r="D48" s="175"/>
      <c r="E48" s="160"/>
      <c r="F48" s="160"/>
      <c r="G48" s="160"/>
      <c r="H48" s="160"/>
      <c r="I48" s="160"/>
      <c r="J48" s="160"/>
      <c r="K48" s="160"/>
      <c r="L48" s="176"/>
      <c r="M48" s="177"/>
      <c r="N48" s="164"/>
      <c r="O48" s="180"/>
      <c r="P48" s="161"/>
    </row>
    <row r="49" spans="1:16" ht="40.25" customHeight="1" x14ac:dyDescent="0.2">
      <c r="A49" s="160"/>
      <c r="B49" s="174"/>
      <c r="C49" s="174"/>
      <c r="D49" s="175"/>
      <c r="E49" s="160"/>
      <c r="F49" s="160"/>
      <c r="G49" s="160"/>
      <c r="H49" s="160"/>
      <c r="I49" s="160"/>
      <c r="J49" s="160"/>
      <c r="K49" s="160"/>
      <c r="L49" s="176"/>
      <c r="M49" s="177"/>
      <c r="N49" s="164"/>
      <c r="O49" s="180"/>
      <c r="P49" s="161"/>
    </row>
    <row r="50" spans="1:16" ht="40.25" customHeight="1" x14ac:dyDescent="0.2">
      <c r="A50" s="160"/>
      <c r="B50" s="174"/>
      <c r="C50" s="174"/>
      <c r="D50" s="175"/>
      <c r="E50" s="160"/>
      <c r="F50" s="160"/>
      <c r="G50" s="160"/>
      <c r="H50" s="160"/>
      <c r="I50" s="160"/>
      <c r="J50" s="160"/>
      <c r="K50" s="160"/>
      <c r="L50" s="176"/>
      <c r="M50" s="177"/>
      <c r="N50" s="164"/>
      <c r="O50" s="180"/>
      <c r="P50" s="161"/>
    </row>
    <row r="51" spans="1:16" ht="40.25" customHeight="1" x14ac:dyDescent="0.2">
      <c r="A51" s="160"/>
      <c r="B51" s="174"/>
      <c r="C51" s="174"/>
      <c r="D51" s="175"/>
      <c r="E51" s="160"/>
      <c r="F51" s="160"/>
      <c r="G51" s="160"/>
      <c r="H51" s="160"/>
      <c r="I51" s="160"/>
      <c r="J51" s="160"/>
      <c r="K51" s="160"/>
      <c r="L51" s="176"/>
      <c r="M51" s="177"/>
      <c r="N51" s="164"/>
      <c r="O51" s="180"/>
      <c r="P51" s="161"/>
    </row>
    <row r="52" spans="1:16" ht="40.25" customHeight="1" x14ac:dyDescent="0.2">
      <c r="A52" s="160"/>
      <c r="B52" s="174"/>
      <c r="C52" s="174"/>
      <c r="D52" s="175"/>
      <c r="E52" s="160"/>
      <c r="F52" s="160"/>
      <c r="G52" s="160"/>
      <c r="H52" s="160"/>
      <c r="I52" s="160"/>
      <c r="J52" s="160"/>
      <c r="K52" s="160"/>
      <c r="L52" s="176"/>
      <c r="M52" s="177"/>
      <c r="N52" s="164"/>
      <c r="O52" s="180"/>
      <c r="P52" s="161"/>
    </row>
    <row r="53" spans="1:16" ht="40.25" customHeight="1" x14ac:dyDescent="0.2">
      <c r="A53" s="160"/>
      <c r="B53" s="174"/>
      <c r="C53" s="174"/>
      <c r="D53" s="175"/>
      <c r="E53" s="160"/>
      <c r="F53" s="160"/>
      <c r="G53" s="160"/>
      <c r="H53" s="160"/>
      <c r="I53" s="160"/>
      <c r="J53" s="160"/>
      <c r="K53" s="160"/>
      <c r="L53" s="176"/>
      <c r="M53" s="177"/>
      <c r="N53" s="164"/>
      <c r="O53" s="180"/>
      <c r="P53" s="161"/>
    </row>
    <row r="54" spans="1:16" ht="40.25" customHeight="1" x14ac:dyDescent="0.2">
      <c r="A54" s="160"/>
      <c r="B54" s="174"/>
      <c r="C54" s="174"/>
      <c r="D54" s="175"/>
      <c r="E54" s="160"/>
      <c r="F54" s="160"/>
      <c r="G54" s="160"/>
      <c r="H54" s="160"/>
      <c r="I54" s="160"/>
      <c r="J54" s="160"/>
      <c r="K54" s="160"/>
      <c r="L54" s="176"/>
      <c r="M54" s="177"/>
      <c r="N54" s="164"/>
      <c r="O54" s="180"/>
      <c r="P54" s="161"/>
    </row>
    <row r="55" spans="1:16" ht="40.25" customHeight="1" x14ac:dyDescent="0.2">
      <c r="A55" s="160"/>
      <c r="B55" s="174"/>
      <c r="C55" s="174"/>
      <c r="D55" s="175"/>
      <c r="E55" s="160"/>
      <c r="F55" s="160"/>
      <c r="G55" s="160"/>
      <c r="H55" s="160"/>
      <c r="I55" s="160"/>
      <c r="J55" s="160"/>
      <c r="K55" s="160"/>
      <c r="L55" s="176"/>
      <c r="M55" s="177"/>
      <c r="N55" s="164"/>
      <c r="O55" s="180"/>
      <c r="P55" s="161"/>
    </row>
    <row r="56" spans="1:16" ht="40.25" customHeight="1" x14ac:dyDescent="0.2">
      <c r="A56" s="160"/>
      <c r="B56" s="174"/>
      <c r="C56" s="174"/>
      <c r="D56" s="175"/>
      <c r="E56" s="160"/>
      <c r="F56" s="160"/>
      <c r="G56" s="160"/>
      <c r="H56" s="160"/>
      <c r="I56" s="160"/>
      <c r="J56" s="160"/>
      <c r="K56" s="160"/>
      <c r="L56" s="176"/>
      <c r="M56" s="177"/>
      <c r="N56" s="164"/>
      <c r="O56" s="180"/>
      <c r="P56" s="161"/>
    </row>
    <row r="57" spans="1:16" ht="40.25" customHeight="1" x14ac:dyDescent="0.2">
      <c r="A57" s="160"/>
      <c r="B57" s="174"/>
      <c r="C57" s="174"/>
      <c r="D57" s="175"/>
      <c r="E57" s="160"/>
      <c r="F57" s="160"/>
      <c r="G57" s="160"/>
      <c r="H57" s="160"/>
      <c r="I57" s="160"/>
      <c r="J57" s="160"/>
      <c r="K57" s="160"/>
      <c r="L57" s="176"/>
      <c r="M57" s="177"/>
      <c r="N57" s="164"/>
      <c r="O57" s="180"/>
      <c r="P57" s="161"/>
    </row>
    <row r="58" spans="1:16" ht="40.25" customHeight="1" x14ac:dyDescent="0.2">
      <c r="A58" s="160"/>
      <c r="B58" s="174"/>
      <c r="C58" s="174"/>
      <c r="D58" s="175"/>
      <c r="E58" s="175"/>
      <c r="F58" s="175"/>
      <c r="G58" s="160"/>
      <c r="H58" s="160"/>
      <c r="I58" s="160"/>
      <c r="J58" s="160"/>
      <c r="K58" s="160"/>
      <c r="L58" s="176"/>
      <c r="M58" s="177"/>
      <c r="N58" s="164"/>
      <c r="O58" s="178"/>
      <c r="P58" s="161"/>
    </row>
    <row r="59" spans="1:16" ht="40.25" customHeight="1" x14ac:dyDescent="0.2">
      <c r="A59" s="160"/>
      <c r="B59" s="174"/>
      <c r="C59" s="174"/>
      <c r="D59" s="175"/>
      <c r="E59" s="175"/>
      <c r="F59" s="175"/>
      <c r="G59" s="160"/>
      <c r="H59" s="160"/>
      <c r="I59" s="160"/>
      <c r="J59" s="160"/>
      <c r="K59" s="160"/>
      <c r="L59" s="176"/>
      <c r="M59" s="177"/>
      <c r="N59" s="164"/>
      <c r="O59" s="178"/>
      <c r="P59" s="161"/>
    </row>
    <row r="60" spans="1:16" ht="40.25" customHeight="1" x14ac:dyDescent="0.2">
      <c r="A60" s="160"/>
      <c r="B60" s="174"/>
      <c r="C60" s="174"/>
      <c r="D60" s="175"/>
      <c r="E60" s="175"/>
      <c r="F60" s="175"/>
      <c r="G60" s="160"/>
      <c r="H60" s="160"/>
      <c r="I60" s="160"/>
      <c r="J60" s="160"/>
      <c r="K60" s="160"/>
      <c r="L60" s="176"/>
      <c r="M60" s="177"/>
      <c r="N60" s="164"/>
      <c r="O60" s="178"/>
      <c r="P60" s="161"/>
    </row>
    <row r="61" spans="1:16" ht="40.25" customHeight="1" x14ac:dyDescent="0.2">
      <c r="A61" s="160"/>
      <c r="B61" s="174"/>
      <c r="C61" s="174"/>
      <c r="D61" s="175"/>
      <c r="E61" s="5"/>
      <c r="F61" s="5"/>
      <c r="G61" s="160"/>
      <c r="H61" s="160"/>
      <c r="I61" s="160"/>
      <c r="J61" s="160"/>
      <c r="K61" s="160"/>
      <c r="L61" s="176"/>
      <c r="M61" s="177"/>
      <c r="N61" s="164"/>
      <c r="O61" s="180"/>
      <c r="P61" s="161"/>
    </row>
    <row r="62" spans="1:16" ht="40.25" customHeight="1" x14ac:dyDescent="0.2">
      <c r="A62" s="160"/>
      <c r="B62" s="174"/>
      <c r="C62" s="174"/>
      <c r="D62" s="175"/>
      <c r="E62" s="5"/>
      <c r="F62" s="5"/>
      <c r="G62" s="160"/>
      <c r="H62" s="160"/>
      <c r="I62" s="160"/>
      <c r="J62" s="160"/>
      <c r="K62" s="160"/>
      <c r="L62" s="176"/>
      <c r="M62" s="177"/>
      <c r="N62" s="164"/>
      <c r="O62" s="180"/>
      <c r="P62" s="161"/>
    </row>
    <row r="63" spans="1:16" ht="40.25" customHeight="1" x14ac:dyDescent="0.2">
      <c r="A63" s="160"/>
      <c r="B63" s="174"/>
      <c r="C63" s="174"/>
      <c r="D63" s="175"/>
      <c r="E63" s="5"/>
      <c r="F63" s="5"/>
      <c r="G63" s="160"/>
      <c r="H63" s="160"/>
      <c r="I63" s="160"/>
      <c r="J63" s="160"/>
      <c r="K63" s="160"/>
      <c r="L63" s="176"/>
      <c r="M63" s="177"/>
      <c r="N63" s="164"/>
      <c r="O63" s="179"/>
      <c r="P63" s="161"/>
    </row>
    <row r="64" spans="1:16" ht="40.25" customHeight="1" x14ac:dyDescent="0.2">
      <c r="A64" s="160"/>
      <c r="B64" s="174"/>
      <c r="C64" s="174"/>
      <c r="D64" s="175"/>
      <c r="E64" s="160"/>
      <c r="F64" s="160"/>
      <c r="G64" s="160"/>
      <c r="H64" s="160"/>
      <c r="I64" s="160"/>
      <c r="J64" s="160"/>
      <c r="K64" s="160"/>
      <c r="L64" s="176"/>
      <c r="M64" s="177"/>
      <c r="N64" s="164"/>
      <c r="O64" s="178"/>
      <c r="P64" s="161"/>
    </row>
    <row r="65" spans="1:16" ht="40.25" customHeight="1" x14ac:dyDescent="0.2">
      <c r="A65" s="160"/>
      <c r="B65" s="174"/>
      <c r="C65" s="174"/>
      <c r="D65" s="175"/>
      <c r="E65" s="160"/>
      <c r="F65" s="160"/>
      <c r="G65" s="160"/>
      <c r="H65" s="160"/>
      <c r="I65" s="160"/>
      <c r="J65" s="160"/>
      <c r="K65" s="160"/>
      <c r="L65" s="176"/>
      <c r="M65" s="177"/>
      <c r="N65" s="164"/>
      <c r="O65" s="178"/>
      <c r="P65" s="161"/>
    </row>
    <row r="66" spans="1:16" ht="40.25" customHeight="1" x14ac:dyDescent="0.2">
      <c r="A66" s="160"/>
      <c r="B66" s="174"/>
      <c r="C66" s="174"/>
      <c r="D66" s="175"/>
      <c r="E66" s="160"/>
      <c r="F66" s="160"/>
      <c r="G66" s="160"/>
      <c r="H66" s="160"/>
      <c r="I66" s="160"/>
      <c r="J66" s="160"/>
      <c r="K66" s="160"/>
      <c r="L66" s="176"/>
      <c r="M66" s="177"/>
      <c r="N66" s="164"/>
      <c r="O66" s="178"/>
      <c r="P66" s="161"/>
    </row>
    <row r="67" spans="1:16" ht="40.25" customHeight="1" x14ac:dyDescent="0.2">
      <c r="A67" s="160"/>
      <c r="B67" s="174"/>
      <c r="C67" s="174"/>
      <c r="D67" s="175"/>
      <c r="E67" s="175"/>
      <c r="F67" s="175"/>
      <c r="G67" s="160"/>
      <c r="H67" s="160"/>
      <c r="I67" s="160"/>
      <c r="J67" s="160"/>
      <c r="K67" s="160"/>
      <c r="L67" s="176"/>
      <c r="M67" s="177"/>
      <c r="N67" s="164"/>
      <c r="O67" s="178"/>
      <c r="P67" s="161"/>
    </row>
    <row r="68" spans="1:16" ht="40.25" customHeight="1" x14ac:dyDescent="0.2">
      <c r="A68" s="160"/>
      <c r="B68" s="174"/>
      <c r="C68" s="174"/>
      <c r="D68" s="175"/>
      <c r="E68" s="175"/>
      <c r="F68" s="175"/>
      <c r="G68" s="160"/>
      <c r="H68" s="160"/>
      <c r="I68" s="160"/>
      <c r="J68" s="160"/>
      <c r="K68" s="160"/>
      <c r="L68" s="176"/>
      <c r="M68" s="177"/>
      <c r="N68" s="164"/>
      <c r="O68" s="178"/>
      <c r="P68" s="161"/>
    </row>
    <row r="69" spans="1:16" ht="40.25" customHeight="1" x14ac:dyDescent="0.2">
      <c r="A69" s="160"/>
      <c r="B69" s="174"/>
      <c r="C69" s="174"/>
      <c r="D69" s="175"/>
      <c r="E69" s="175"/>
      <c r="F69" s="175"/>
      <c r="G69" s="160"/>
      <c r="H69" s="160"/>
      <c r="I69" s="160"/>
      <c r="J69" s="160"/>
      <c r="K69" s="160"/>
      <c r="L69" s="176"/>
      <c r="M69" s="177"/>
      <c r="N69" s="164"/>
      <c r="O69" s="178"/>
      <c r="P69" s="161"/>
    </row>
    <row r="70" spans="1:16" ht="40.25" customHeight="1" x14ac:dyDescent="0.2">
      <c r="A70" s="160"/>
      <c r="B70" s="174"/>
      <c r="C70" s="174"/>
      <c r="D70" s="175"/>
      <c r="E70" s="175"/>
      <c r="F70" s="175"/>
      <c r="G70" s="160"/>
      <c r="H70" s="160"/>
      <c r="I70" s="160"/>
      <c r="J70" s="160"/>
      <c r="K70" s="160"/>
      <c r="L70" s="176"/>
      <c r="M70" s="177"/>
      <c r="N70" s="164"/>
      <c r="O70" s="178"/>
      <c r="P70" s="161"/>
    </row>
    <row r="71" spans="1:16" ht="40.25" customHeight="1" x14ac:dyDescent="0.2">
      <c r="A71" s="160"/>
      <c r="B71" s="174"/>
      <c r="C71" s="174"/>
      <c r="D71" s="175"/>
      <c r="E71" s="175"/>
      <c r="F71" s="175"/>
      <c r="G71" s="160"/>
      <c r="H71" s="160"/>
      <c r="I71" s="160"/>
      <c r="J71" s="160"/>
      <c r="K71" s="160"/>
      <c r="L71" s="176"/>
      <c r="M71" s="177"/>
      <c r="N71" s="164"/>
      <c r="O71" s="178"/>
      <c r="P71" s="161"/>
    </row>
    <row r="72" spans="1:16" ht="40.25" customHeight="1" x14ac:dyDescent="0.2">
      <c r="A72" s="160"/>
      <c r="B72" s="174"/>
      <c r="C72" s="174"/>
      <c r="D72" s="175"/>
      <c r="E72" s="175"/>
      <c r="F72" s="175"/>
      <c r="G72" s="160"/>
      <c r="H72" s="160"/>
      <c r="I72" s="160"/>
      <c r="J72" s="160"/>
      <c r="K72" s="160"/>
      <c r="L72" s="176"/>
      <c r="M72" s="177"/>
      <c r="N72" s="164"/>
      <c r="O72" s="178"/>
      <c r="P72" s="161"/>
    </row>
    <row r="73" spans="1:16" ht="40.25" customHeight="1" x14ac:dyDescent="0.2">
      <c r="A73" s="160"/>
      <c r="B73" s="174"/>
      <c r="C73" s="174"/>
      <c r="D73" s="175"/>
      <c r="E73" s="175"/>
      <c r="F73" s="175"/>
      <c r="G73" s="160"/>
      <c r="H73" s="160"/>
      <c r="I73" s="160"/>
      <c r="J73" s="160"/>
      <c r="K73" s="160"/>
      <c r="L73" s="176"/>
      <c r="M73" s="177"/>
      <c r="N73" s="164"/>
      <c r="O73" s="178"/>
      <c r="P73" s="161"/>
    </row>
    <row r="74" spans="1:16" ht="40.25" customHeight="1" x14ac:dyDescent="0.2">
      <c r="A74" s="160"/>
      <c r="B74" s="174"/>
      <c r="C74" s="174"/>
      <c r="D74" s="175"/>
      <c r="E74" s="175"/>
      <c r="F74" s="175"/>
      <c r="G74" s="160"/>
      <c r="H74" s="160"/>
      <c r="I74" s="160"/>
      <c r="J74" s="160"/>
      <c r="K74" s="160"/>
      <c r="L74" s="176"/>
      <c r="M74" s="177"/>
      <c r="N74" s="164"/>
      <c r="O74" s="178"/>
      <c r="P74" s="161"/>
    </row>
    <row r="75" spans="1:16" ht="40.25" customHeight="1" x14ac:dyDescent="0.2">
      <c r="A75" s="160"/>
      <c r="B75" s="174"/>
      <c r="C75" s="174"/>
      <c r="D75" s="175"/>
      <c r="E75" s="175"/>
      <c r="F75" s="175"/>
      <c r="G75" s="160"/>
      <c r="H75" s="160"/>
      <c r="I75" s="160"/>
      <c r="J75" s="160"/>
      <c r="K75" s="160"/>
      <c r="L75" s="176"/>
      <c r="M75" s="177"/>
      <c r="N75" s="164"/>
      <c r="O75" s="178"/>
      <c r="P75" s="161"/>
    </row>
    <row r="76" spans="1:16" ht="40.25" customHeight="1" x14ac:dyDescent="0.2">
      <c r="A76" s="160"/>
      <c r="B76" s="174"/>
      <c r="C76" s="174"/>
      <c r="D76" s="175"/>
      <c r="E76" s="175"/>
      <c r="F76" s="175"/>
      <c r="G76" s="160"/>
      <c r="H76" s="160"/>
      <c r="I76" s="160"/>
      <c r="J76" s="160"/>
      <c r="K76" s="160"/>
      <c r="L76" s="176"/>
      <c r="M76" s="177"/>
      <c r="N76" s="164"/>
      <c r="O76" s="178"/>
      <c r="P76" s="161"/>
    </row>
    <row r="77" spans="1:16" ht="40.25" customHeight="1" x14ac:dyDescent="0.2">
      <c r="A77" s="160"/>
      <c r="B77" s="174"/>
      <c r="C77" s="174"/>
      <c r="D77" s="175"/>
      <c r="E77" s="175"/>
      <c r="F77" s="175"/>
      <c r="G77" s="160"/>
      <c r="H77" s="160"/>
      <c r="I77" s="160"/>
      <c r="J77" s="160"/>
      <c r="K77" s="160"/>
      <c r="L77" s="176"/>
      <c r="M77" s="177"/>
      <c r="N77" s="164"/>
      <c r="O77" s="178"/>
      <c r="P77" s="161"/>
    </row>
    <row r="78" spans="1:16" ht="40.25" customHeight="1" x14ac:dyDescent="0.2">
      <c r="A78" s="160"/>
      <c r="B78" s="174"/>
      <c r="C78" s="174"/>
      <c r="D78" s="175"/>
      <c r="E78" s="175"/>
      <c r="F78" s="175"/>
      <c r="G78" s="160"/>
      <c r="H78" s="160"/>
      <c r="I78" s="160"/>
      <c r="J78" s="160"/>
      <c r="K78" s="160"/>
      <c r="L78" s="176"/>
      <c r="M78" s="177"/>
      <c r="N78" s="164"/>
      <c r="O78" s="178"/>
      <c r="P78" s="161"/>
    </row>
    <row r="79" spans="1:16" ht="40.25" customHeight="1" x14ac:dyDescent="0.2">
      <c r="A79" s="160"/>
      <c r="B79" s="174"/>
      <c r="C79" s="174"/>
      <c r="D79" s="175"/>
      <c r="E79" s="175"/>
      <c r="F79" s="175"/>
      <c r="G79" s="160"/>
      <c r="H79" s="160"/>
      <c r="I79" s="160"/>
      <c r="J79" s="160"/>
      <c r="K79" s="160"/>
      <c r="L79" s="176"/>
      <c r="M79" s="177"/>
      <c r="N79" s="164"/>
      <c r="O79" s="178"/>
      <c r="P79" s="161"/>
    </row>
    <row r="80" spans="1:16" ht="40.25" customHeight="1" x14ac:dyDescent="0.2">
      <c r="A80" s="160"/>
      <c r="B80" s="174"/>
      <c r="C80" s="174"/>
      <c r="D80" s="175"/>
      <c r="E80" s="175"/>
      <c r="F80" s="175"/>
      <c r="G80" s="160"/>
      <c r="H80" s="160"/>
      <c r="I80" s="160"/>
      <c r="J80" s="160"/>
      <c r="K80" s="160"/>
      <c r="L80" s="176"/>
      <c r="M80" s="177"/>
      <c r="N80" s="164"/>
      <c r="O80" s="178"/>
      <c r="P80" s="161"/>
    </row>
    <row r="81" spans="1:16" ht="40.25" customHeight="1" x14ac:dyDescent="0.2">
      <c r="A81" s="160"/>
      <c r="B81" s="174"/>
      <c r="C81" s="174"/>
      <c r="D81" s="175"/>
      <c r="E81" s="160"/>
      <c r="F81" s="160"/>
      <c r="G81" s="160"/>
      <c r="H81" s="160"/>
      <c r="I81" s="160"/>
      <c r="J81" s="160"/>
      <c r="K81" s="160"/>
      <c r="L81" s="176"/>
      <c r="M81" s="177"/>
      <c r="N81" s="164"/>
      <c r="O81" s="178"/>
      <c r="P81" s="161"/>
    </row>
    <row r="82" spans="1:16" ht="40.25" customHeight="1" x14ac:dyDescent="0.2">
      <c r="A82" s="160"/>
      <c r="B82" s="174"/>
      <c r="C82" s="174"/>
      <c r="D82" s="175"/>
      <c r="E82" s="160"/>
      <c r="F82" s="160"/>
      <c r="G82" s="160"/>
      <c r="H82" s="160"/>
      <c r="I82" s="160"/>
      <c r="J82" s="160"/>
      <c r="K82" s="160"/>
      <c r="L82" s="176"/>
      <c r="M82" s="177"/>
      <c r="N82" s="164"/>
      <c r="O82" s="178"/>
      <c r="P82" s="161"/>
    </row>
    <row r="83" spans="1:16" ht="40.25" customHeight="1" x14ac:dyDescent="0.2">
      <c r="A83" s="160"/>
      <c r="B83" s="174"/>
      <c r="C83" s="174"/>
      <c r="D83" s="175"/>
      <c r="E83" s="5"/>
      <c r="F83" s="5"/>
      <c r="G83" s="160"/>
      <c r="H83" s="160"/>
      <c r="I83" s="160"/>
      <c r="J83" s="160"/>
      <c r="K83" s="160"/>
      <c r="L83" s="176"/>
      <c r="M83" s="177"/>
      <c r="N83" s="164"/>
      <c r="O83" s="160"/>
      <c r="P83" s="161"/>
    </row>
    <row r="84" spans="1:16" ht="40.25" customHeight="1" x14ac:dyDescent="0.2">
      <c r="A84" s="160"/>
      <c r="B84" s="174"/>
      <c r="C84" s="174"/>
      <c r="D84" s="175"/>
      <c r="E84" s="5"/>
      <c r="F84" s="5"/>
      <c r="G84" s="160"/>
      <c r="H84" s="160"/>
      <c r="I84" s="160"/>
      <c r="J84" s="160"/>
      <c r="K84" s="160"/>
      <c r="L84" s="176"/>
      <c r="M84" s="177"/>
      <c r="N84" s="164"/>
      <c r="O84" s="179"/>
      <c r="P84" s="161"/>
    </row>
    <row r="85" spans="1:16" ht="40.25" customHeight="1" x14ac:dyDescent="0.2">
      <c r="A85" s="160"/>
      <c r="B85" s="174"/>
      <c r="C85" s="174"/>
      <c r="D85" s="175"/>
      <c r="E85" s="182"/>
      <c r="F85" s="182"/>
      <c r="G85" s="160"/>
      <c r="H85" s="160"/>
      <c r="I85" s="160"/>
      <c r="J85" s="160"/>
      <c r="K85" s="160"/>
      <c r="L85" s="176"/>
      <c r="M85" s="177"/>
      <c r="N85" s="164"/>
      <c r="O85" s="178"/>
    </row>
    <row r="86" spans="1:16" ht="40.25" customHeight="1" x14ac:dyDescent="0.2">
      <c r="A86" s="160"/>
      <c r="B86" s="174"/>
      <c r="C86" s="174"/>
      <c r="D86" s="175"/>
      <c r="E86" s="182"/>
      <c r="F86" s="182"/>
      <c r="G86" s="160"/>
      <c r="H86" s="160"/>
      <c r="I86" s="160"/>
      <c r="J86" s="160"/>
      <c r="K86" s="160"/>
      <c r="L86" s="176"/>
      <c r="M86" s="177"/>
      <c r="N86" s="164"/>
      <c r="O86" s="178"/>
    </row>
    <row r="87" spans="1:16" ht="40.25" customHeight="1" x14ac:dyDescent="0.2">
      <c r="A87" s="160"/>
      <c r="B87" s="174"/>
      <c r="C87" s="174"/>
      <c r="D87" s="175"/>
      <c r="E87" s="5"/>
      <c r="F87" s="5"/>
      <c r="G87" s="160"/>
      <c r="H87" s="160"/>
      <c r="I87" s="160"/>
      <c r="J87" s="160"/>
      <c r="K87" s="160"/>
      <c r="L87" s="176"/>
      <c r="M87" s="177"/>
      <c r="N87" s="164"/>
      <c r="O87" s="179"/>
    </row>
    <row r="88" spans="1:16" ht="40.25" customHeight="1" x14ac:dyDescent="0.2">
      <c r="A88" s="160"/>
      <c r="B88" s="174"/>
      <c r="C88" s="174"/>
      <c r="D88" s="175"/>
      <c r="E88" s="5"/>
      <c r="F88" s="5"/>
      <c r="G88" s="160"/>
      <c r="H88" s="160"/>
      <c r="I88" s="160"/>
      <c r="J88" s="160"/>
      <c r="K88" s="160"/>
      <c r="L88" s="176"/>
      <c r="M88" s="177"/>
      <c r="N88" s="164"/>
      <c r="O88" s="179"/>
    </row>
    <row r="89" spans="1:16" ht="40.25" customHeight="1" x14ac:dyDescent="0.2">
      <c r="A89" s="160"/>
      <c r="B89" s="174"/>
      <c r="C89" s="174"/>
      <c r="D89" s="175"/>
      <c r="E89" s="160"/>
      <c r="F89" s="160"/>
      <c r="G89" s="160"/>
      <c r="H89" s="160"/>
      <c r="I89" s="160"/>
      <c r="J89" s="160"/>
      <c r="K89" s="160"/>
      <c r="L89" s="176"/>
      <c r="M89" s="177"/>
      <c r="N89" s="164"/>
      <c r="O89" s="180"/>
    </row>
    <row r="90" spans="1:16" ht="40.25" customHeight="1" x14ac:dyDescent="0.2">
      <c r="A90" s="160"/>
      <c r="B90" s="174"/>
      <c r="C90" s="174"/>
      <c r="D90" s="175"/>
      <c r="E90" s="160"/>
      <c r="F90" s="160"/>
      <c r="G90" s="160"/>
      <c r="H90" s="160"/>
      <c r="I90" s="160"/>
      <c r="J90" s="160"/>
      <c r="K90" s="160"/>
      <c r="L90" s="176"/>
      <c r="M90" s="177"/>
      <c r="N90" s="164"/>
      <c r="O90" s="180"/>
    </row>
    <row r="91" spans="1:16" ht="40.25" customHeight="1" x14ac:dyDescent="0.2">
      <c r="A91" s="160"/>
      <c r="B91" s="174"/>
      <c r="C91" s="174"/>
      <c r="D91" s="175"/>
      <c r="E91" s="160"/>
      <c r="F91" s="160"/>
      <c r="G91" s="160"/>
      <c r="H91" s="160"/>
      <c r="I91" s="160"/>
      <c r="J91" s="160"/>
      <c r="K91" s="160"/>
      <c r="L91" s="176"/>
      <c r="M91" s="177"/>
      <c r="N91" s="164"/>
      <c r="O91" s="180"/>
    </row>
    <row r="92" spans="1:16" ht="40.25" customHeight="1" x14ac:dyDescent="0.2">
      <c r="A92" s="160"/>
      <c r="B92" s="174"/>
      <c r="C92" s="174"/>
      <c r="D92" s="175"/>
      <c r="E92" s="160"/>
      <c r="F92" s="160"/>
      <c r="G92" s="160"/>
      <c r="H92" s="160"/>
      <c r="I92" s="160"/>
      <c r="J92" s="160"/>
      <c r="K92" s="160"/>
      <c r="L92" s="176"/>
      <c r="M92" s="177"/>
      <c r="N92" s="164"/>
      <c r="O92" s="179"/>
    </row>
    <row r="93" spans="1:16" ht="40.25" customHeight="1" x14ac:dyDescent="0.2">
      <c r="A93" s="160"/>
      <c r="B93" s="174"/>
      <c r="C93" s="174"/>
      <c r="D93" s="175"/>
      <c r="E93" s="160"/>
      <c r="F93" s="160"/>
      <c r="G93" s="160"/>
      <c r="H93" s="160"/>
      <c r="I93" s="160"/>
      <c r="J93" s="160"/>
      <c r="K93" s="160"/>
      <c r="L93" s="176"/>
      <c r="M93" s="177"/>
      <c r="N93" s="164"/>
      <c r="O93" s="179"/>
    </row>
    <row r="94" spans="1:16" ht="40.25" customHeight="1" x14ac:dyDescent="0.2">
      <c r="A94" s="160"/>
      <c r="B94" s="174"/>
      <c r="C94" s="174"/>
      <c r="D94" s="175"/>
      <c r="E94" s="160"/>
      <c r="F94" s="175"/>
      <c r="G94" s="160"/>
      <c r="H94" s="160"/>
      <c r="I94" s="160"/>
      <c r="J94" s="160"/>
      <c r="K94" s="160"/>
      <c r="L94" s="176"/>
      <c r="M94" s="177"/>
      <c r="N94" s="164"/>
      <c r="O94" s="180"/>
    </row>
    <row r="95" spans="1:16" ht="40.25" customHeight="1" x14ac:dyDescent="0.2">
      <c r="A95" s="160"/>
      <c r="B95" s="174"/>
      <c r="C95" s="174"/>
      <c r="D95" s="175"/>
      <c r="E95" s="160"/>
      <c r="F95" s="160"/>
      <c r="G95" s="160"/>
      <c r="H95" s="160"/>
      <c r="I95" s="160"/>
      <c r="J95" s="160"/>
      <c r="K95" s="160"/>
      <c r="L95" s="176"/>
      <c r="M95" s="177"/>
      <c r="N95" s="164"/>
      <c r="O95" s="178"/>
    </row>
    <row r="96" spans="1:16" ht="40.25" customHeight="1" x14ac:dyDescent="0.2">
      <c r="A96" s="160"/>
      <c r="B96" s="174"/>
      <c r="C96" s="174"/>
      <c r="D96" s="175"/>
      <c r="E96" s="160"/>
      <c r="F96" s="160"/>
      <c r="G96" s="160"/>
      <c r="H96" s="160"/>
      <c r="I96" s="160"/>
      <c r="J96" s="160"/>
      <c r="K96" s="160"/>
      <c r="L96" s="176"/>
      <c r="M96" s="177"/>
      <c r="N96" s="164"/>
      <c r="O96" s="178"/>
    </row>
    <row r="97" spans="1:15" ht="40.25" customHeight="1" x14ac:dyDescent="0.2">
      <c r="A97" s="160"/>
      <c r="B97" s="174"/>
      <c r="C97" s="174"/>
      <c r="D97" s="175"/>
      <c r="E97" s="160"/>
      <c r="F97" s="160"/>
      <c r="G97" s="160"/>
      <c r="H97" s="160"/>
      <c r="I97" s="160"/>
      <c r="J97" s="160"/>
      <c r="K97" s="160"/>
      <c r="L97" s="176"/>
      <c r="M97" s="177"/>
      <c r="N97" s="164"/>
      <c r="O97" s="178"/>
    </row>
    <row r="98" spans="1:15" ht="40.25" customHeight="1" x14ac:dyDescent="0.2">
      <c r="A98" s="160"/>
      <c r="B98" s="174"/>
      <c r="C98" s="174"/>
      <c r="D98" s="175"/>
      <c r="E98" s="160"/>
      <c r="F98" s="160"/>
      <c r="G98" s="160"/>
      <c r="H98" s="160"/>
      <c r="I98" s="160"/>
      <c r="J98" s="160"/>
      <c r="K98" s="160"/>
      <c r="L98" s="176"/>
      <c r="M98" s="177"/>
      <c r="N98" s="164"/>
      <c r="O98" s="178"/>
    </row>
    <row r="99" spans="1:15" ht="40.25" customHeight="1" x14ac:dyDescent="0.2">
      <c r="A99" s="160"/>
      <c r="B99" s="174"/>
      <c r="C99" s="174"/>
      <c r="D99" s="175"/>
      <c r="E99" s="160"/>
      <c r="F99" s="160"/>
      <c r="G99" s="160"/>
      <c r="H99" s="160"/>
      <c r="I99" s="160"/>
      <c r="J99" s="160"/>
      <c r="K99" s="160"/>
      <c r="L99" s="176"/>
      <c r="M99" s="177"/>
      <c r="N99" s="164"/>
      <c r="O99" s="178"/>
    </row>
    <row r="100" spans="1:15" ht="40.25" customHeight="1" x14ac:dyDescent="0.2">
      <c r="A100" s="160"/>
      <c r="B100" s="174"/>
      <c r="C100" s="174"/>
      <c r="D100" s="175"/>
      <c r="E100" s="160"/>
      <c r="F100" s="160"/>
      <c r="G100" s="160"/>
      <c r="H100" s="160"/>
      <c r="I100" s="160"/>
      <c r="J100" s="160"/>
      <c r="K100" s="160"/>
      <c r="L100" s="176"/>
      <c r="M100" s="177"/>
      <c r="N100" s="164"/>
      <c r="O100" s="160"/>
    </row>
    <row r="101" spans="1:15" ht="40.25" customHeight="1" x14ac:dyDescent="0.2">
      <c r="A101" s="160"/>
      <c r="B101" s="174"/>
      <c r="C101" s="174"/>
      <c r="D101" s="175"/>
      <c r="E101" s="160"/>
      <c r="F101" s="160"/>
      <c r="G101" s="160"/>
      <c r="H101" s="160"/>
      <c r="I101" s="160"/>
      <c r="J101" s="160"/>
      <c r="K101" s="160"/>
      <c r="L101" s="176"/>
      <c r="M101" s="177"/>
      <c r="N101" s="164"/>
      <c r="O101" s="180"/>
    </row>
    <row r="102" spans="1:15" ht="40.25" customHeight="1" x14ac:dyDescent="0.2">
      <c r="A102" s="160"/>
      <c r="B102" s="174"/>
      <c r="C102" s="174"/>
      <c r="D102" s="175"/>
      <c r="E102" s="160"/>
      <c r="F102" s="160"/>
      <c r="G102" s="160"/>
      <c r="H102" s="160"/>
      <c r="I102" s="160"/>
      <c r="J102" s="160"/>
      <c r="K102" s="160"/>
      <c r="L102" s="176"/>
      <c r="M102" s="177"/>
      <c r="N102" s="164"/>
      <c r="O102" s="180"/>
    </row>
    <row r="103" spans="1:15" ht="40.25" customHeight="1" x14ac:dyDescent="0.2">
      <c r="A103" s="160"/>
      <c r="B103" s="174"/>
      <c r="C103" s="174"/>
      <c r="D103" s="175"/>
      <c r="E103" s="160"/>
      <c r="F103" s="160"/>
      <c r="G103" s="160"/>
      <c r="H103" s="160"/>
      <c r="I103" s="160"/>
      <c r="J103" s="160"/>
      <c r="K103" s="160"/>
      <c r="L103" s="176"/>
      <c r="M103" s="177"/>
      <c r="N103" s="164"/>
      <c r="O103" s="180"/>
    </row>
    <row r="104" spans="1:15" ht="40.25" customHeight="1" x14ac:dyDescent="0.2">
      <c r="A104" s="160"/>
      <c r="B104" s="174"/>
      <c r="C104" s="174"/>
      <c r="D104" s="175"/>
      <c r="E104" s="160"/>
      <c r="F104" s="160"/>
      <c r="G104" s="160"/>
      <c r="H104" s="160"/>
      <c r="I104" s="160"/>
      <c r="J104" s="160"/>
      <c r="K104" s="160"/>
      <c r="L104" s="176"/>
      <c r="M104" s="177"/>
      <c r="N104" s="164"/>
      <c r="O104" s="180"/>
    </row>
    <row r="105" spans="1:15" ht="40.25" customHeight="1" x14ac:dyDescent="0.2">
      <c r="A105" s="160"/>
      <c r="B105" s="174"/>
      <c r="C105" s="174"/>
      <c r="D105" s="175"/>
      <c r="E105" s="160"/>
      <c r="F105" s="160"/>
      <c r="G105" s="160"/>
      <c r="H105" s="160"/>
      <c r="I105" s="160"/>
      <c r="J105" s="160"/>
      <c r="K105" s="160"/>
      <c r="L105" s="176"/>
      <c r="M105" s="177"/>
      <c r="N105" s="164"/>
      <c r="O105" s="180"/>
    </row>
    <row r="106" spans="1:15" ht="40.25" customHeight="1" x14ac:dyDescent="0.2">
      <c r="A106" s="160"/>
      <c r="B106" s="174"/>
      <c r="C106" s="174"/>
      <c r="D106" s="175"/>
      <c r="E106" s="175"/>
      <c r="F106" s="160"/>
      <c r="G106" s="160"/>
      <c r="H106" s="160"/>
      <c r="I106" s="160"/>
      <c r="J106" s="160"/>
      <c r="K106" s="160"/>
      <c r="L106" s="176"/>
      <c r="M106" s="177"/>
      <c r="N106" s="164"/>
      <c r="O106" s="180"/>
    </row>
    <row r="107" spans="1:15" ht="40.25" customHeight="1" x14ac:dyDescent="0.2">
      <c r="A107" s="160"/>
      <c r="B107" s="174"/>
      <c r="C107" s="174"/>
      <c r="D107" s="175"/>
      <c r="E107" s="175"/>
      <c r="F107" s="160"/>
      <c r="G107" s="160"/>
      <c r="H107" s="160"/>
      <c r="I107" s="160"/>
      <c r="J107" s="160"/>
      <c r="K107" s="160"/>
      <c r="L107" s="176"/>
      <c r="M107" s="177"/>
      <c r="N107" s="164"/>
      <c r="O107" s="180"/>
    </row>
    <row r="108" spans="1:15" ht="40.25" customHeight="1" x14ac:dyDescent="0.2">
      <c r="A108" s="160"/>
      <c r="B108" s="174"/>
      <c r="C108" s="174"/>
      <c r="D108" s="175"/>
      <c r="E108" s="175"/>
      <c r="F108" s="160"/>
      <c r="G108" s="160"/>
      <c r="H108" s="160"/>
      <c r="I108" s="160"/>
      <c r="J108" s="160"/>
      <c r="K108" s="160"/>
      <c r="L108" s="176"/>
      <c r="M108" s="177"/>
      <c r="N108" s="164"/>
      <c r="O108" s="180"/>
    </row>
    <row r="109" spans="1:15" ht="40.25" customHeight="1" x14ac:dyDescent="0.2">
      <c r="A109" s="160"/>
      <c r="B109" s="174"/>
      <c r="C109" s="174"/>
      <c r="D109" s="175"/>
      <c r="E109" s="175"/>
      <c r="F109" s="160"/>
      <c r="G109" s="160"/>
      <c r="H109" s="160"/>
      <c r="I109" s="160"/>
      <c r="J109" s="160"/>
      <c r="K109" s="160"/>
      <c r="L109" s="176"/>
      <c r="M109" s="177"/>
      <c r="N109" s="164"/>
      <c r="O109" s="180"/>
    </row>
    <row r="110" spans="1:15" ht="40.25" customHeight="1" x14ac:dyDescent="0.2">
      <c r="A110" s="160"/>
      <c r="B110" s="174"/>
      <c r="C110" s="174"/>
      <c r="D110" s="175"/>
      <c r="E110" s="175"/>
      <c r="F110" s="160"/>
      <c r="G110" s="160"/>
      <c r="H110" s="160"/>
      <c r="I110" s="160"/>
      <c r="J110" s="160"/>
      <c r="K110" s="160"/>
      <c r="L110" s="176"/>
      <c r="M110" s="177"/>
      <c r="N110" s="164"/>
      <c r="O110" s="180"/>
    </row>
    <row r="111" spans="1:15" ht="40.25" customHeight="1" x14ac:dyDescent="0.2">
      <c r="A111" s="160"/>
      <c r="B111" s="174"/>
      <c r="C111" s="174"/>
      <c r="D111" s="175"/>
      <c r="E111" s="175"/>
      <c r="F111" s="160"/>
      <c r="G111" s="160"/>
      <c r="H111" s="160"/>
      <c r="I111" s="160"/>
      <c r="J111" s="160"/>
      <c r="K111" s="160"/>
      <c r="L111" s="176"/>
      <c r="M111" s="177"/>
      <c r="N111" s="164"/>
      <c r="O111" s="180"/>
    </row>
    <row r="112" spans="1:15" ht="40.25" customHeight="1" x14ac:dyDescent="0.2">
      <c r="A112" s="160"/>
      <c r="B112" s="174"/>
      <c r="C112" s="174"/>
      <c r="D112" s="175"/>
      <c r="E112" s="175"/>
      <c r="F112" s="160"/>
      <c r="G112" s="160"/>
      <c r="H112" s="160"/>
      <c r="I112" s="160"/>
      <c r="J112" s="160"/>
      <c r="K112" s="160"/>
      <c r="L112" s="176"/>
      <c r="M112" s="177"/>
      <c r="N112" s="164"/>
      <c r="O112" s="180"/>
    </row>
    <row r="113" spans="1:15" ht="40.25" customHeight="1" x14ac:dyDescent="0.2">
      <c r="A113" s="160"/>
      <c r="B113" s="174"/>
      <c r="C113" s="174"/>
      <c r="D113" s="175"/>
      <c r="E113" s="175"/>
      <c r="F113" s="160"/>
      <c r="G113" s="160"/>
      <c r="H113" s="160"/>
      <c r="I113" s="160"/>
      <c r="J113" s="160"/>
      <c r="K113" s="160"/>
      <c r="L113" s="176"/>
      <c r="M113" s="177"/>
      <c r="N113" s="164"/>
      <c r="O113" s="180"/>
    </row>
    <row r="114" spans="1:15" ht="40.25" customHeight="1" x14ac:dyDescent="0.2">
      <c r="A114" s="160"/>
      <c r="B114" s="174"/>
      <c r="C114" s="174"/>
      <c r="D114" s="175"/>
      <c r="E114" s="175"/>
      <c r="F114" s="160"/>
      <c r="G114" s="160"/>
      <c r="H114" s="160"/>
      <c r="I114" s="160"/>
      <c r="J114" s="160"/>
      <c r="K114" s="160"/>
      <c r="L114" s="176"/>
      <c r="M114" s="177"/>
      <c r="N114" s="164"/>
      <c r="O114" s="180"/>
    </row>
    <row r="115" spans="1:15" ht="40.25" customHeight="1" x14ac:dyDescent="0.2">
      <c r="A115" s="160"/>
      <c r="B115" s="174"/>
      <c r="C115" s="174"/>
      <c r="D115" s="175"/>
      <c r="E115" s="175"/>
      <c r="F115" s="160"/>
      <c r="G115" s="160"/>
      <c r="H115" s="160"/>
      <c r="I115" s="160"/>
      <c r="J115" s="160"/>
      <c r="K115" s="160"/>
      <c r="L115" s="176"/>
      <c r="M115" s="177"/>
      <c r="N115" s="164"/>
      <c r="O115" s="180"/>
    </row>
    <row r="116" spans="1:15" ht="40.25" customHeight="1" x14ac:dyDescent="0.2">
      <c r="A116" s="160"/>
      <c r="B116" s="174"/>
      <c r="C116" s="174"/>
      <c r="D116" s="175"/>
      <c r="E116" s="175"/>
      <c r="F116" s="160"/>
      <c r="G116" s="160"/>
      <c r="H116" s="160"/>
      <c r="I116" s="160"/>
      <c r="J116" s="160"/>
      <c r="K116" s="160"/>
      <c r="L116" s="176"/>
      <c r="M116" s="177"/>
      <c r="N116" s="164"/>
      <c r="O116" s="180"/>
    </row>
    <row r="117" spans="1:15" ht="40.25" customHeight="1" x14ac:dyDescent="0.2">
      <c r="A117" s="160"/>
      <c r="B117" s="174"/>
      <c r="C117" s="174"/>
      <c r="D117" s="175"/>
      <c r="E117" s="175"/>
      <c r="F117" s="160"/>
      <c r="G117" s="160"/>
      <c r="H117" s="160"/>
      <c r="I117" s="160"/>
      <c r="J117" s="160"/>
      <c r="K117" s="160"/>
      <c r="L117" s="176"/>
      <c r="M117" s="177"/>
      <c r="N117" s="164"/>
      <c r="O117" s="180"/>
    </row>
    <row r="118" spans="1:15" ht="40.25" customHeight="1" x14ac:dyDescent="0.2">
      <c r="A118" s="160"/>
      <c r="B118" s="174"/>
      <c r="C118" s="174"/>
      <c r="D118" s="175"/>
      <c r="E118" s="160"/>
      <c r="F118" s="160"/>
      <c r="G118" s="160"/>
      <c r="H118" s="160"/>
      <c r="I118" s="160"/>
      <c r="J118" s="160"/>
      <c r="K118" s="160"/>
      <c r="L118" s="176"/>
      <c r="M118" s="177"/>
      <c r="N118" s="164"/>
      <c r="O118" s="180"/>
    </row>
    <row r="119" spans="1:15" ht="40.25" customHeight="1" x14ac:dyDescent="0.2">
      <c r="A119" s="160"/>
      <c r="B119" s="174"/>
      <c r="C119" s="174"/>
      <c r="D119" s="175"/>
      <c r="E119" s="160"/>
      <c r="F119" s="160"/>
      <c r="G119" s="160"/>
      <c r="H119" s="160"/>
      <c r="I119" s="160"/>
      <c r="J119" s="160"/>
      <c r="K119" s="160"/>
      <c r="L119" s="176"/>
      <c r="M119" s="177"/>
      <c r="N119" s="164"/>
      <c r="O119" s="180"/>
    </row>
    <row r="120" spans="1:15" ht="40.25" customHeight="1" x14ac:dyDescent="0.2">
      <c r="A120" s="160"/>
      <c r="B120" s="174"/>
      <c r="C120" s="174"/>
      <c r="D120" s="175"/>
      <c r="E120" s="160"/>
      <c r="F120" s="160"/>
      <c r="G120" s="160"/>
      <c r="H120" s="160"/>
      <c r="I120" s="160"/>
      <c r="J120" s="160"/>
      <c r="K120" s="160"/>
      <c r="L120" s="176"/>
      <c r="M120" s="177"/>
      <c r="N120" s="164"/>
      <c r="O120" s="180"/>
    </row>
    <row r="121" spans="1:15" ht="40.25" customHeight="1" x14ac:dyDescent="0.2">
      <c r="A121" s="160"/>
      <c r="B121" s="174"/>
      <c r="C121" s="174"/>
      <c r="D121" s="175"/>
      <c r="E121" s="160"/>
      <c r="F121" s="160"/>
      <c r="G121" s="160"/>
      <c r="H121" s="160"/>
      <c r="I121" s="160"/>
      <c r="J121" s="160"/>
      <c r="K121" s="160"/>
      <c r="L121" s="176"/>
      <c r="M121" s="177"/>
      <c r="N121" s="164"/>
      <c r="O121" s="180"/>
    </row>
    <row r="122" spans="1:15" ht="40.25" customHeight="1" x14ac:dyDescent="0.2">
      <c r="A122" s="160"/>
      <c r="B122" s="174"/>
      <c r="C122" s="174"/>
      <c r="D122" s="175"/>
      <c r="E122" s="160"/>
      <c r="F122" s="160"/>
      <c r="G122" s="160"/>
      <c r="H122" s="160"/>
      <c r="I122" s="160"/>
      <c r="J122" s="160"/>
      <c r="K122" s="160"/>
      <c r="L122" s="176"/>
      <c r="M122" s="177"/>
      <c r="N122" s="164"/>
      <c r="O122" s="180"/>
    </row>
    <row r="123" spans="1:15" ht="40.25" customHeight="1" x14ac:dyDescent="0.2">
      <c r="A123" s="160"/>
      <c r="B123" s="174"/>
      <c r="C123" s="174"/>
      <c r="D123" s="175"/>
      <c r="E123" s="160"/>
      <c r="F123" s="160"/>
      <c r="G123" s="160"/>
      <c r="H123" s="160"/>
      <c r="I123" s="160"/>
      <c r="J123" s="160"/>
      <c r="K123" s="160"/>
      <c r="L123" s="176"/>
      <c r="M123" s="177"/>
      <c r="N123" s="164"/>
      <c r="O123" s="180"/>
    </row>
    <row r="124" spans="1:15" ht="40.25" customHeight="1" x14ac:dyDescent="0.2">
      <c r="A124" s="160"/>
      <c r="B124" s="174"/>
      <c r="C124" s="174"/>
      <c r="D124" s="175"/>
      <c r="E124" s="160"/>
      <c r="F124" s="160"/>
      <c r="G124" s="160"/>
      <c r="H124" s="160"/>
      <c r="I124" s="160"/>
      <c r="J124" s="160"/>
      <c r="K124" s="160"/>
      <c r="L124" s="176"/>
      <c r="M124" s="177"/>
      <c r="N124" s="164"/>
      <c r="O124" s="180"/>
    </row>
    <row r="125" spans="1:15" ht="40.25" customHeight="1" x14ac:dyDescent="0.2">
      <c r="A125" s="160"/>
      <c r="B125" s="174"/>
      <c r="C125" s="174"/>
      <c r="D125" s="175"/>
      <c r="E125" s="160"/>
      <c r="F125" s="160"/>
      <c r="G125" s="160"/>
      <c r="H125" s="160"/>
      <c r="I125" s="160"/>
      <c r="J125" s="160"/>
      <c r="K125" s="160"/>
      <c r="L125" s="176"/>
      <c r="M125" s="177"/>
      <c r="N125" s="164"/>
      <c r="O125" s="180"/>
    </row>
    <row r="126" spans="1:15" ht="40.25" customHeight="1" x14ac:dyDescent="0.2">
      <c r="A126" s="160"/>
      <c r="B126" s="174"/>
      <c r="C126" s="174"/>
      <c r="D126" s="175"/>
      <c r="E126" s="5"/>
      <c r="F126" s="5"/>
      <c r="G126" s="160"/>
      <c r="H126" s="160"/>
      <c r="I126" s="160"/>
      <c r="J126" s="160"/>
      <c r="K126" s="160"/>
      <c r="L126" s="176"/>
      <c r="M126" s="177"/>
      <c r="N126" s="164"/>
      <c r="O126" s="180"/>
    </row>
    <row r="127" spans="1:15" ht="40.25" customHeight="1" x14ac:dyDescent="0.2">
      <c r="A127" s="160"/>
      <c r="B127" s="174"/>
      <c r="C127" s="174"/>
      <c r="D127" s="175"/>
      <c r="E127" s="5"/>
      <c r="F127" s="5"/>
      <c r="G127" s="160"/>
      <c r="H127" s="160"/>
      <c r="I127" s="160"/>
      <c r="J127" s="160"/>
      <c r="K127" s="160"/>
      <c r="L127" s="176"/>
      <c r="M127" s="177"/>
      <c r="N127" s="164"/>
      <c r="O127" s="180"/>
    </row>
    <row r="128" spans="1:15" ht="40.25" customHeight="1" x14ac:dyDescent="0.2">
      <c r="A128" s="160"/>
      <c r="B128" s="174"/>
      <c r="C128" s="174"/>
      <c r="D128" s="175"/>
      <c r="E128" s="160"/>
      <c r="F128" s="160"/>
      <c r="G128" s="160"/>
      <c r="H128" s="160"/>
      <c r="I128" s="160"/>
      <c r="J128" s="160"/>
      <c r="K128" s="160"/>
      <c r="L128" s="176"/>
      <c r="M128" s="177"/>
      <c r="N128" s="164"/>
      <c r="O128" s="180"/>
    </row>
    <row r="129" spans="1:15" ht="40.25" customHeight="1" x14ac:dyDescent="0.2">
      <c r="A129" s="160"/>
      <c r="B129" s="174"/>
      <c r="C129" s="174"/>
      <c r="D129" s="175"/>
      <c r="E129" s="160"/>
      <c r="F129" s="160"/>
      <c r="G129" s="160"/>
      <c r="H129" s="160"/>
      <c r="I129" s="160"/>
      <c r="J129" s="160"/>
      <c r="K129" s="160"/>
      <c r="L129" s="176"/>
      <c r="M129" s="177"/>
      <c r="N129" s="164"/>
      <c r="O129" s="180"/>
    </row>
    <row r="130" spans="1:15" ht="40.25" customHeight="1" x14ac:dyDescent="0.2">
      <c r="A130" s="160"/>
      <c r="B130" s="174"/>
      <c r="C130" s="174"/>
      <c r="D130" s="175"/>
      <c r="E130" s="160"/>
      <c r="F130" s="160"/>
      <c r="G130" s="160"/>
      <c r="H130" s="160"/>
      <c r="I130" s="160"/>
      <c r="J130" s="160"/>
      <c r="K130" s="160"/>
      <c r="L130" s="176"/>
      <c r="M130" s="177"/>
      <c r="N130" s="164"/>
      <c r="O130" s="160"/>
    </row>
    <row r="131" spans="1:15" ht="40.25" customHeight="1" x14ac:dyDescent="0.2">
      <c r="A131" s="160"/>
      <c r="B131" s="174"/>
      <c r="C131" s="174"/>
      <c r="D131" s="175"/>
      <c r="E131" s="160"/>
      <c r="F131" s="160"/>
      <c r="G131" s="160"/>
      <c r="H131" s="160"/>
      <c r="I131" s="160"/>
      <c r="J131" s="160"/>
      <c r="K131" s="160"/>
      <c r="L131" s="176"/>
      <c r="M131" s="177"/>
      <c r="N131" s="164"/>
      <c r="O131" s="180"/>
    </row>
    <row r="132" spans="1:15" ht="40.25" customHeight="1" x14ac:dyDescent="0.2">
      <c r="A132" s="160"/>
      <c r="B132" s="174"/>
      <c r="C132" s="174"/>
      <c r="D132" s="175"/>
      <c r="E132" s="160"/>
      <c r="F132" s="160"/>
      <c r="G132" s="160"/>
      <c r="H132" s="160"/>
      <c r="I132" s="160"/>
      <c r="J132" s="160"/>
      <c r="K132" s="160"/>
      <c r="L132" s="176"/>
      <c r="M132" s="177"/>
      <c r="N132" s="164"/>
      <c r="O132" s="180"/>
    </row>
    <row r="133" spans="1:15" ht="40.25" customHeight="1" x14ac:dyDescent="0.2">
      <c r="A133" s="160"/>
      <c r="B133" s="174"/>
      <c r="C133" s="174"/>
      <c r="D133" s="175"/>
      <c r="E133" s="160"/>
      <c r="F133" s="160"/>
      <c r="G133" s="160"/>
      <c r="H133" s="160"/>
      <c r="I133" s="160"/>
      <c r="J133" s="160"/>
      <c r="K133" s="160"/>
      <c r="L133" s="176"/>
      <c r="M133" s="177"/>
      <c r="N133" s="164"/>
      <c r="O133" s="180"/>
    </row>
    <row r="134" spans="1:15" ht="40.25" customHeight="1" x14ac:dyDescent="0.2">
      <c r="A134" s="160"/>
      <c r="B134" s="174"/>
      <c r="C134" s="174"/>
      <c r="D134" s="175"/>
      <c r="E134" s="160"/>
      <c r="F134" s="160"/>
      <c r="G134" s="160"/>
      <c r="H134" s="160"/>
      <c r="I134" s="160"/>
      <c r="J134" s="160"/>
      <c r="K134" s="160"/>
      <c r="L134" s="176"/>
      <c r="M134" s="177"/>
      <c r="N134" s="164"/>
      <c r="O134" s="180"/>
    </row>
    <row r="135" spans="1:15" ht="40.25" customHeight="1" x14ac:dyDescent="0.2">
      <c r="A135" s="160"/>
      <c r="B135" s="174"/>
      <c r="C135" s="174"/>
      <c r="D135" s="175"/>
      <c r="E135" s="160"/>
      <c r="F135" s="160"/>
      <c r="G135" s="160"/>
      <c r="H135" s="160"/>
      <c r="I135" s="160"/>
      <c r="J135" s="160"/>
      <c r="K135" s="160"/>
      <c r="L135" s="176"/>
      <c r="M135" s="177"/>
      <c r="N135" s="164"/>
      <c r="O135" s="180"/>
    </row>
    <row r="136" spans="1:15" ht="40.25" customHeight="1" x14ac:dyDescent="0.2">
      <c r="A136" s="160"/>
      <c r="B136" s="174"/>
      <c r="C136" s="174"/>
      <c r="D136" s="175"/>
      <c r="E136" s="175"/>
      <c r="F136" s="160"/>
      <c r="G136" s="160"/>
      <c r="H136" s="160"/>
      <c r="I136" s="160"/>
      <c r="J136" s="160"/>
      <c r="K136" s="160"/>
      <c r="L136" s="176"/>
      <c r="M136" s="177"/>
      <c r="N136" s="164"/>
      <c r="O136" s="181"/>
    </row>
    <row r="137" spans="1:15" ht="40.25" customHeight="1" x14ac:dyDescent="0.2">
      <c r="A137" s="160"/>
      <c r="B137" s="174"/>
      <c r="C137" s="174"/>
      <c r="D137" s="175"/>
      <c r="E137" s="175"/>
      <c r="F137" s="160"/>
      <c r="G137" s="160"/>
      <c r="H137" s="160"/>
      <c r="I137" s="160"/>
      <c r="J137" s="160"/>
      <c r="K137" s="160"/>
      <c r="L137" s="176"/>
      <c r="M137" s="177"/>
      <c r="N137" s="164"/>
      <c r="O137" s="160"/>
    </row>
    <row r="138" spans="1:15" ht="40.25" customHeight="1" x14ac:dyDescent="0.2">
      <c r="A138" s="160"/>
      <c r="B138" s="174"/>
      <c r="C138" s="174"/>
      <c r="D138" s="175"/>
      <c r="E138" s="175"/>
      <c r="F138" s="160"/>
      <c r="G138" s="160"/>
      <c r="H138" s="160"/>
      <c r="I138" s="160"/>
      <c r="J138" s="160"/>
      <c r="K138" s="160"/>
      <c r="L138" s="176"/>
      <c r="M138" s="177"/>
      <c r="N138" s="164"/>
      <c r="O138" s="180"/>
    </row>
    <row r="139" spans="1:15" ht="40.25" customHeight="1" x14ac:dyDescent="0.2">
      <c r="A139" s="160"/>
      <c r="B139" s="174"/>
      <c r="C139" s="174"/>
      <c r="D139" s="175"/>
      <c r="E139" s="175"/>
      <c r="F139" s="160"/>
      <c r="G139" s="160"/>
      <c r="H139" s="160"/>
      <c r="I139" s="160"/>
      <c r="J139" s="160"/>
      <c r="K139" s="160"/>
      <c r="L139" s="176"/>
      <c r="M139" s="177"/>
      <c r="N139" s="164"/>
      <c r="O139" s="180"/>
    </row>
    <row r="140" spans="1:15" ht="40.25" customHeight="1" x14ac:dyDescent="0.2">
      <c r="A140" s="160"/>
      <c r="B140" s="174"/>
      <c r="C140" s="174"/>
      <c r="D140" s="175"/>
      <c r="E140" s="160"/>
      <c r="F140" s="160"/>
      <c r="G140" s="160"/>
      <c r="H140" s="160"/>
      <c r="I140" s="160"/>
      <c r="J140" s="160"/>
      <c r="K140" s="160"/>
      <c r="L140" s="176"/>
      <c r="M140" s="177"/>
      <c r="N140" s="164"/>
      <c r="O140" s="180"/>
    </row>
    <row r="141" spans="1:15" ht="40.25" customHeight="1" x14ac:dyDescent="0.2">
      <c r="A141" s="160"/>
      <c r="B141" s="174"/>
      <c r="C141" s="174"/>
      <c r="D141" s="175"/>
      <c r="E141" s="160"/>
      <c r="F141" s="160"/>
      <c r="G141" s="160"/>
      <c r="H141" s="160"/>
      <c r="I141" s="160"/>
      <c r="J141" s="160"/>
      <c r="K141" s="160"/>
      <c r="L141" s="176"/>
      <c r="M141" s="177"/>
      <c r="N141" s="164"/>
      <c r="O141" s="160"/>
    </row>
    <row r="142" spans="1:15" ht="40.25" customHeight="1" x14ac:dyDescent="0.2">
      <c r="A142" s="160"/>
      <c r="B142" s="174"/>
      <c r="C142" s="174"/>
      <c r="D142" s="175"/>
      <c r="E142" s="160"/>
      <c r="F142" s="160"/>
      <c r="G142" s="160"/>
      <c r="H142" s="160"/>
      <c r="I142" s="160"/>
      <c r="J142" s="160"/>
      <c r="K142" s="160"/>
      <c r="L142" s="176"/>
      <c r="M142" s="177"/>
      <c r="N142" s="164"/>
      <c r="O142" s="160"/>
    </row>
    <row r="143" spans="1:15" ht="40.25" customHeight="1" x14ac:dyDescent="0.2">
      <c r="A143" s="160"/>
      <c r="B143" s="174"/>
      <c r="C143" s="174"/>
      <c r="D143" s="175"/>
      <c r="E143" s="175"/>
      <c r="F143" s="160"/>
      <c r="G143" s="160"/>
      <c r="H143" s="160"/>
      <c r="I143" s="160"/>
      <c r="J143" s="160"/>
      <c r="K143" s="160"/>
      <c r="L143" s="176"/>
      <c r="M143" s="177"/>
      <c r="N143" s="164"/>
      <c r="O143" s="180"/>
    </row>
    <row r="144" spans="1:15" ht="40.25" customHeight="1" x14ac:dyDescent="0.2">
      <c r="A144" s="160"/>
      <c r="B144" s="174"/>
      <c r="C144" s="174"/>
      <c r="D144" s="175"/>
      <c r="E144" s="175"/>
      <c r="F144" s="160"/>
      <c r="G144" s="160"/>
      <c r="H144" s="160"/>
      <c r="I144" s="160"/>
      <c r="J144" s="160"/>
      <c r="K144" s="160"/>
      <c r="L144" s="176"/>
      <c r="M144" s="177"/>
      <c r="N144" s="164"/>
      <c r="O144" s="180"/>
    </row>
    <row r="145" spans="1:15" ht="40.25" customHeight="1" x14ac:dyDescent="0.2">
      <c r="A145" s="160"/>
      <c r="B145" s="174"/>
      <c r="C145" s="174"/>
      <c r="D145" s="175"/>
      <c r="E145" s="175"/>
      <c r="F145" s="160"/>
      <c r="G145" s="160"/>
      <c r="H145" s="160"/>
      <c r="I145" s="160"/>
      <c r="J145" s="160"/>
      <c r="K145" s="160"/>
      <c r="L145" s="176"/>
      <c r="M145" s="177"/>
      <c r="N145" s="164"/>
      <c r="O145" s="180"/>
    </row>
    <row r="146" spans="1:15" ht="40.25" customHeight="1" x14ac:dyDescent="0.2">
      <c r="A146" s="160"/>
      <c r="B146" s="174"/>
      <c r="C146" s="174"/>
      <c r="D146" s="175"/>
      <c r="E146" s="175"/>
      <c r="F146" s="160"/>
      <c r="G146" s="160"/>
      <c r="H146" s="160"/>
      <c r="I146" s="160"/>
      <c r="J146" s="160"/>
      <c r="K146" s="160"/>
      <c r="L146" s="176"/>
      <c r="M146" s="177"/>
      <c r="N146" s="164"/>
      <c r="O146" s="180"/>
    </row>
    <row r="147" spans="1:15" ht="40.25" customHeight="1" x14ac:dyDescent="0.2">
      <c r="A147" s="160"/>
      <c r="B147" s="174"/>
      <c r="C147" s="174"/>
      <c r="D147" s="175"/>
      <c r="E147" s="175"/>
      <c r="F147" s="160"/>
      <c r="G147" s="160"/>
      <c r="H147" s="160"/>
      <c r="I147" s="160"/>
      <c r="J147" s="160"/>
      <c r="K147" s="160"/>
      <c r="L147" s="176"/>
      <c r="M147" s="177"/>
      <c r="N147" s="164"/>
      <c r="O147" s="180"/>
    </row>
    <row r="148" spans="1:15" ht="40.25" customHeight="1" x14ac:dyDescent="0.2">
      <c r="A148" s="160"/>
      <c r="B148" s="174"/>
      <c r="C148" s="174"/>
      <c r="D148" s="175"/>
      <c r="E148" s="175"/>
      <c r="F148" s="160"/>
      <c r="G148" s="160"/>
      <c r="H148" s="160"/>
      <c r="I148" s="160"/>
      <c r="J148" s="160"/>
      <c r="K148" s="160"/>
      <c r="L148" s="176"/>
      <c r="M148" s="177"/>
      <c r="N148" s="164"/>
      <c r="O148" s="180"/>
    </row>
    <row r="149" spans="1:15" ht="40.25" customHeight="1" x14ac:dyDescent="0.2">
      <c r="A149" s="160"/>
      <c r="B149" s="174"/>
      <c r="C149" s="174"/>
      <c r="D149" s="175"/>
      <c r="E149" s="175"/>
      <c r="F149" s="160"/>
      <c r="G149" s="160"/>
      <c r="H149" s="160"/>
      <c r="I149" s="160"/>
      <c r="J149" s="160"/>
      <c r="K149" s="160"/>
      <c r="L149" s="176"/>
      <c r="M149" s="177"/>
      <c r="N149" s="164"/>
      <c r="O149" s="160"/>
    </row>
    <row r="150" spans="1:15" ht="40.25" customHeight="1" x14ac:dyDescent="0.2">
      <c r="A150" s="160"/>
      <c r="B150" s="174"/>
      <c r="C150" s="174"/>
      <c r="D150" s="175"/>
      <c r="E150" s="160"/>
      <c r="F150" s="160"/>
      <c r="G150" s="160"/>
      <c r="H150" s="160"/>
      <c r="I150" s="160"/>
      <c r="J150" s="160"/>
      <c r="K150" s="160"/>
      <c r="L150" s="176"/>
      <c r="M150" s="177"/>
      <c r="N150" s="164"/>
      <c r="O150" s="160"/>
    </row>
    <row r="151" spans="1:15" ht="40.25" customHeight="1" x14ac:dyDescent="0.2">
      <c r="A151" s="160"/>
      <c r="B151" s="174"/>
      <c r="C151" s="174"/>
      <c r="D151" s="175"/>
      <c r="E151" s="175"/>
      <c r="F151" s="160"/>
      <c r="G151" s="160"/>
      <c r="H151" s="160"/>
      <c r="I151" s="160"/>
      <c r="J151" s="160"/>
      <c r="K151" s="160"/>
      <c r="L151" s="176"/>
      <c r="M151" s="177"/>
      <c r="N151" s="164"/>
      <c r="O151" s="160"/>
    </row>
    <row r="152" spans="1:15" ht="40.25" customHeight="1" x14ac:dyDescent="0.2">
      <c r="A152" s="160"/>
      <c r="B152" s="174"/>
      <c r="C152" s="174"/>
      <c r="D152" s="175"/>
      <c r="E152" s="175"/>
      <c r="F152" s="160"/>
      <c r="G152" s="160"/>
      <c r="H152" s="160"/>
      <c r="I152" s="160"/>
      <c r="J152" s="160"/>
      <c r="K152" s="160"/>
      <c r="L152" s="176"/>
      <c r="M152" s="177"/>
      <c r="N152" s="164"/>
      <c r="O152" s="160"/>
    </row>
    <row r="153" spans="1:15" ht="40.25" customHeight="1" x14ac:dyDescent="0.2">
      <c r="A153" s="160"/>
      <c r="B153" s="174"/>
      <c r="C153" s="174"/>
      <c r="D153" s="175"/>
      <c r="E153" s="175"/>
      <c r="F153" s="160"/>
      <c r="G153" s="160"/>
      <c r="H153" s="160"/>
      <c r="I153" s="160"/>
      <c r="J153" s="160"/>
      <c r="K153" s="160"/>
      <c r="L153" s="176"/>
      <c r="M153" s="177"/>
      <c r="N153" s="164"/>
      <c r="O153" s="160"/>
    </row>
    <row r="154" spans="1:15" ht="40.25" customHeight="1" x14ac:dyDescent="0.2">
      <c r="A154" s="160"/>
      <c r="B154" s="174"/>
      <c r="C154" s="174"/>
      <c r="D154" s="175"/>
      <c r="E154" s="175"/>
      <c r="F154" s="160"/>
      <c r="G154" s="160"/>
      <c r="H154" s="160"/>
      <c r="I154" s="160"/>
      <c r="J154" s="160"/>
      <c r="K154" s="160"/>
      <c r="L154" s="176"/>
      <c r="M154" s="177"/>
      <c r="N154" s="164"/>
      <c r="O154" s="160"/>
    </row>
    <row r="155" spans="1:15" ht="40.25" customHeight="1" x14ac:dyDescent="0.2">
      <c r="A155" s="160"/>
      <c r="B155" s="174"/>
      <c r="C155" s="174"/>
      <c r="D155" s="175"/>
      <c r="E155" s="175"/>
      <c r="F155" s="160"/>
      <c r="G155" s="160"/>
      <c r="H155" s="160"/>
      <c r="I155" s="160"/>
      <c r="J155" s="160"/>
      <c r="K155" s="160"/>
      <c r="L155" s="176"/>
      <c r="M155" s="177"/>
      <c r="N155" s="164"/>
      <c r="O155" s="160"/>
    </row>
    <row r="156" spans="1:15" ht="40.25" customHeight="1" x14ac:dyDescent="0.2">
      <c r="A156" s="160"/>
      <c r="B156" s="174"/>
      <c r="C156" s="174"/>
      <c r="D156" s="175"/>
      <c r="E156" s="175"/>
      <c r="F156" s="160"/>
      <c r="G156" s="160"/>
      <c r="H156" s="160"/>
      <c r="I156" s="160"/>
      <c r="J156" s="175"/>
      <c r="K156" s="160"/>
      <c r="L156" s="176"/>
      <c r="M156" s="177"/>
      <c r="N156" s="164"/>
      <c r="O156" s="160"/>
    </row>
    <row r="157" spans="1:15" ht="40.25" customHeight="1" x14ac:dyDescent="0.2">
      <c r="A157" s="160"/>
      <c r="B157" s="174"/>
      <c r="C157" s="174"/>
      <c r="D157" s="175"/>
      <c r="E157" s="160"/>
      <c r="F157" s="160"/>
      <c r="G157" s="160"/>
      <c r="H157" s="160"/>
      <c r="I157" s="160"/>
      <c r="J157" s="160"/>
      <c r="K157" s="160"/>
      <c r="L157" s="176"/>
      <c r="M157" s="177"/>
      <c r="N157" s="164"/>
      <c r="O157" s="160"/>
    </row>
    <row r="158" spans="1:15" ht="40.25" customHeight="1" x14ac:dyDescent="0.2">
      <c r="A158" s="160"/>
      <c r="B158" s="174"/>
      <c r="C158" s="174"/>
      <c r="D158" s="175"/>
      <c r="E158" s="160"/>
      <c r="F158" s="160"/>
      <c r="G158" s="160"/>
      <c r="H158" s="160"/>
      <c r="I158" s="160"/>
      <c r="J158" s="160"/>
      <c r="K158" s="160"/>
      <c r="L158" s="176"/>
      <c r="M158" s="177"/>
      <c r="N158" s="164"/>
      <c r="O158" s="160"/>
    </row>
    <row r="159" spans="1:15" ht="40.25" customHeight="1" x14ac:dyDescent="0.2">
      <c r="A159" s="160"/>
      <c r="B159" s="174"/>
      <c r="C159" s="174"/>
      <c r="D159" s="175"/>
      <c r="E159" s="160"/>
      <c r="F159" s="160"/>
      <c r="G159" s="160"/>
      <c r="H159" s="160"/>
      <c r="I159" s="160"/>
      <c r="J159" s="160"/>
      <c r="K159" s="160"/>
      <c r="L159" s="176"/>
      <c r="M159" s="177"/>
      <c r="N159" s="164"/>
      <c r="O159" s="160"/>
    </row>
    <row r="160" spans="1:15" ht="40.25" customHeight="1" x14ac:dyDescent="0.2">
      <c r="A160" s="160"/>
      <c r="B160" s="174"/>
      <c r="C160" s="174"/>
      <c r="D160" s="175"/>
      <c r="E160" s="160"/>
      <c r="F160" s="160"/>
      <c r="G160" s="160"/>
      <c r="H160" s="160"/>
      <c r="I160" s="160"/>
      <c r="J160" s="160"/>
      <c r="K160" s="160"/>
      <c r="L160" s="176"/>
      <c r="M160" s="177"/>
      <c r="N160" s="164"/>
      <c r="O160" s="160"/>
    </row>
    <row r="161" spans="1:15" ht="40.25" customHeight="1" x14ac:dyDescent="0.2">
      <c r="A161" s="160"/>
      <c r="B161" s="174"/>
      <c r="C161" s="174"/>
      <c r="D161" s="175"/>
      <c r="E161" s="160"/>
      <c r="F161" s="160"/>
      <c r="G161" s="160"/>
      <c r="H161" s="160"/>
      <c r="I161" s="160"/>
      <c r="J161" s="160"/>
      <c r="K161" s="160"/>
      <c r="L161" s="176"/>
      <c r="M161" s="177"/>
      <c r="N161" s="164"/>
      <c r="O161" s="160"/>
    </row>
    <row r="162" spans="1:15" ht="40.25" customHeight="1" x14ac:dyDescent="0.2">
      <c r="A162" s="160"/>
      <c r="B162" s="174"/>
      <c r="C162" s="174"/>
      <c r="D162" s="175"/>
      <c r="E162" s="160"/>
      <c r="F162" s="160"/>
      <c r="G162" s="160"/>
      <c r="H162" s="160"/>
      <c r="I162" s="160"/>
      <c r="J162" s="160"/>
      <c r="K162" s="160"/>
      <c r="L162" s="176"/>
      <c r="M162" s="177"/>
      <c r="N162" s="164"/>
      <c r="O162" s="160"/>
    </row>
    <row r="163" spans="1:15" ht="40.25" customHeight="1" x14ac:dyDescent="0.2">
      <c r="A163" s="160"/>
      <c r="B163" s="174"/>
      <c r="C163" s="174"/>
      <c r="D163" s="175"/>
      <c r="E163" s="160"/>
      <c r="F163" s="160"/>
      <c r="G163" s="160"/>
      <c r="H163" s="160"/>
      <c r="I163" s="160"/>
      <c r="J163" s="160"/>
      <c r="K163" s="160"/>
      <c r="L163" s="176"/>
      <c r="M163" s="177"/>
      <c r="N163" s="164"/>
      <c r="O163" s="160"/>
    </row>
    <row r="164" spans="1:15" ht="40.25" customHeight="1" x14ac:dyDescent="0.2">
      <c r="A164" s="160"/>
      <c r="B164" s="174"/>
      <c r="C164" s="174"/>
      <c r="D164" s="175"/>
      <c r="E164" s="160"/>
      <c r="F164" s="160"/>
      <c r="G164" s="160"/>
      <c r="H164" s="160"/>
      <c r="I164" s="160"/>
      <c r="J164" s="160"/>
      <c r="K164" s="160"/>
      <c r="L164" s="176"/>
      <c r="M164" s="177"/>
      <c r="N164" s="164"/>
      <c r="O164" s="160"/>
    </row>
    <row r="165" spans="1:15" ht="40.25" customHeight="1" x14ac:dyDescent="0.2">
      <c r="A165" s="76"/>
      <c r="B165" s="72"/>
      <c r="C165" s="72"/>
      <c r="D165" s="73"/>
      <c r="E165" s="76"/>
      <c r="F165" s="76"/>
      <c r="G165" s="76"/>
      <c r="H165" s="76"/>
      <c r="I165" s="76"/>
      <c r="J165" s="76"/>
      <c r="K165" s="76"/>
      <c r="L165" s="78"/>
      <c r="M165" s="79"/>
      <c r="N165" s="150"/>
      <c r="O165" s="173"/>
    </row>
    <row r="166" spans="1:15" ht="40.25" customHeight="1" x14ac:dyDescent="0.2">
      <c r="B166" s="28"/>
      <c r="C166" s="28"/>
      <c r="D166" s="21"/>
      <c r="L166" s="69"/>
    </row>
    <row r="167" spans="1:15" ht="40.25" customHeight="1" x14ac:dyDescent="0.2">
      <c r="B167" s="28"/>
      <c r="C167" s="28"/>
      <c r="D167" s="21"/>
      <c r="L167" s="69"/>
    </row>
    <row r="168" spans="1:15" ht="40.25" customHeight="1" x14ac:dyDescent="0.2">
      <c r="B168" s="28"/>
      <c r="C168" s="28"/>
      <c r="D168" s="21"/>
      <c r="L168" s="69"/>
    </row>
    <row r="169" spans="1:15" ht="40.25" customHeight="1" x14ac:dyDescent="0.2">
      <c r="B169" s="28"/>
      <c r="C169" s="28"/>
      <c r="D169" s="21"/>
      <c r="L169" s="69"/>
    </row>
    <row r="170" spans="1:15" ht="40.25" customHeight="1" x14ac:dyDescent="0.2">
      <c r="B170" s="28"/>
      <c r="C170" s="28"/>
      <c r="D170" s="21"/>
      <c r="L170" s="69"/>
    </row>
    <row r="171" spans="1:15" ht="40.25" customHeight="1" x14ac:dyDescent="0.2">
      <c r="B171" s="28"/>
      <c r="C171" s="28"/>
      <c r="D171" s="21"/>
      <c r="L171" s="69"/>
    </row>
    <row r="172" spans="1:15" ht="40.25" customHeight="1" x14ac:dyDescent="0.2">
      <c r="B172" s="28"/>
      <c r="C172" s="28"/>
      <c r="D172" s="21"/>
      <c r="L172" s="69"/>
    </row>
    <row r="173" spans="1:15" ht="40.25" customHeight="1" x14ac:dyDescent="0.2">
      <c r="B173" s="28"/>
      <c r="C173" s="28"/>
      <c r="D173" s="21"/>
      <c r="L173" s="69"/>
    </row>
    <row r="174" spans="1:15" ht="40.25" customHeight="1" x14ac:dyDescent="0.2">
      <c r="B174" s="28"/>
      <c r="C174" s="28"/>
      <c r="D174" s="21"/>
      <c r="L174" s="69"/>
    </row>
    <row r="175" spans="1:15" ht="40.25" customHeight="1" x14ac:dyDescent="0.2">
      <c r="B175" s="28"/>
      <c r="C175" s="28"/>
      <c r="D175" s="21"/>
      <c r="L175" s="69"/>
    </row>
    <row r="176" spans="1:15" ht="40.25" customHeight="1" x14ac:dyDescent="0.2">
      <c r="B176" s="28"/>
      <c r="C176" s="28"/>
      <c r="D176" s="21"/>
      <c r="L176" s="69"/>
    </row>
    <row r="177" spans="2:12" ht="40.25" customHeight="1" x14ac:dyDescent="0.2">
      <c r="B177" s="28"/>
      <c r="C177" s="28"/>
      <c r="D177" s="21"/>
      <c r="L177" s="69"/>
    </row>
    <row r="178" spans="2:12" ht="40.25" customHeight="1" x14ac:dyDescent="0.2">
      <c r="B178" s="28"/>
      <c r="C178" s="28"/>
      <c r="D178" s="21"/>
      <c r="L178" s="69"/>
    </row>
    <row r="179" spans="2:12" ht="40.25" customHeight="1" x14ac:dyDescent="0.2">
      <c r="B179" s="28"/>
      <c r="C179" s="28"/>
      <c r="D179" s="21"/>
      <c r="L179" s="69"/>
    </row>
    <row r="180" spans="2:12" ht="40.25" customHeight="1" x14ac:dyDescent="0.2">
      <c r="B180" s="28"/>
      <c r="C180" s="28"/>
      <c r="D180" s="21"/>
      <c r="L180" s="69"/>
    </row>
    <row r="181" spans="2:12" ht="40.25" customHeight="1" x14ac:dyDescent="0.2">
      <c r="B181" s="28"/>
      <c r="C181" s="28"/>
      <c r="D181" s="21"/>
      <c r="L181" s="69"/>
    </row>
    <row r="182" spans="2:12" ht="40.25" customHeight="1" x14ac:dyDescent="0.2">
      <c r="B182" s="28"/>
      <c r="C182" s="28"/>
      <c r="D182" s="21"/>
      <c r="L182" s="69"/>
    </row>
    <row r="183" spans="2:12" ht="40.25" customHeight="1" x14ac:dyDescent="0.2">
      <c r="B183" s="28"/>
      <c r="C183" s="28"/>
      <c r="D183" s="21"/>
      <c r="L183" s="69"/>
    </row>
    <row r="184" spans="2:12" ht="40.25" customHeight="1" x14ac:dyDescent="0.2">
      <c r="B184" s="28"/>
      <c r="C184" s="28"/>
      <c r="D184" s="21"/>
      <c r="L184" s="69"/>
    </row>
    <row r="185" spans="2:12" ht="40.25" customHeight="1" x14ac:dyDescent="0.2">
      <c r="B185" s="28"/>
      <c r="C185" s="28"/>
      <c r="D185" s="21"/>
      <c r="L185" s="69"/>
    </row>
    <row r="186" spans="2:12" ht="40.25" customHeight="1" x14ac:dyDescent="0.2">
      <c r="B186" s="28"/>
      <c r="C186" s="28"/>
      <c r="D186" s="21"/>
      <c r="L186" s="69"/>
    </row>
    <row r="187" spans="2:12" ht="40.25" customHeight="1" x14ac:dyDescent="0.2">
      <c r="B187" s="28"/>
      <c r="C187" s="28"/>
      <c r="D187" s="21"/>
      <c r="L187" s="69"/>
    </row>
    <row r="188" spans="2:12" ht="40.25" customHeight="1" x14ac:dyDescent="0.2">
      <c r="B188" s="28"/>
      <c r="C188" s="28"/>
      <c r="D188" s="21"/>
      <c r="L188" s="69"/>
    </row>
    <row r="189" spans="2:12" ht="40.25" customHeight="1" x14ac:dyDescent="0.2">
      <c r="B189" s="28"/>
      <c r="C189" s="28"/>
      <c r="D189" s="21"/>
      <c r="L189" s="69"/>
    </row>
    <row r="190" spans="2:12" ht="40.25" customHeight="1" x14ac:dyDescent="0.2">
      <c r="B190" s="28"/>
      <c r="C190" s="28"/>
      <c r="D190" s="21"/>
      <c r="L190" s="69"/>
    </row>
    <row r="191" spans="2:12" ht="40.25" customHeight="1" x14ac:dyDescent="0.2">
      <c r="B191" s="28"/>
      <c r="C191" s="28"/>
      <c r="D191" s="21"/>
      <c r="L191" s="69"/>
    </row>
    <row r="192" spans="2:12" ht="40.25" customHeight="1" x14ac:dyDescent="0.2">
      <c r="B192" s="28"/>
      <c r="C192" s="28"/>
      <c r="D192" s="21"/>
      <c r="L192" s="69"/>
    </row>
    <row r="193" spans="2:12" ht="40.25" customHeight="1" x14ac:dyDescent="0.2">
      <c r="B193" s="28"/>
      <c r="C193" s="28"/>
      <c r="D193" s="21"/>
      <c r="L193" s="69"/>
    </row>
    <row r="194" spans="2:12" ht="40.25" customHeight="1" x14ac:dyDescent="0.2">
      <c r="B194" s="28"/>
      <c r="C194" s="28"/>
      <c r="D194" s="21"/>
      <c r="L194" s="69"/>
    </row>
    <row r="195" spans="2:12" ht="40.25" customHeight="1" x14ac:dyDescent="0.2">
      <c r="B195" s="28"/>
      <c r="C195" s="28"/>
      <c r="D195" s="21"/>
      <c r="L195" s="69"/>
    </row>
    <row r="196" spans="2:12" ht="40.25" customHeight="1" x14ac:dyDescent="0.2">
      <c r="B196" s="28"/>
      <c r="C196" s="28"/>
      <c r="D196" s="21"/>
      <c r="L196" s="69"/>
    </row>
    <row r="197" spans="2:12" ht="40.25" customHeight="1" x14ac:dyDescent="0.2">
      <c r="B197" s="28"/>
      <c r="C197" s="28"/>
      <c r="D197" s="21"/>
      <c r="L197" s="69"/>
    </row>
    <row r="198" spans="2:12" ht="40.25" customHeight="1" x14ac:dyDescent="0.2">
      <c r="B198" s="28"/>
      <c r="C198" s="28"/>
      <c r="D198" s="21"/>
      <c r="L198" s="69"/>
    </row>
    <row r="199" spans="2:12" ht="40.25" customHeight="1" x14ac:dyDescent="0.2">
      <c r="B199" s="28"/>
      <c r="C199" s="28"/>
      <c r="D199" s="21"/>
      <c r="L199" s="69"/>
    </row>
    <row r="200" spans="2:12" ht="40.25" customHeight="1" x14ac:dyDescent="0.2">
      <c r="B200" s="28"/>
      <c r="C200" s="28"/>
      <c r="D200" s="21"/>
      <c r="L200" s="69"/>
    </row>
    <row r="201" spans="2:12" ht="40.25" customHeight="1" x14ac:dyDescent="0.2">
      <c r="B201" s="28"/>
      <c r="C201" s="28"/>
      <c r="D201" s="21"/>
      <c r="L201" s="69"/>
    </row>
    <row r="202" spans="2:12" ht="40.25" customHeight="1" x14ac:dyDescent="0.2">
      <c r="B202" s="28"/>
      <c r="C202" s="28"/>
      <c r="D202" s="21"/>
      <c r="L202" s="69"/>
    </row>
    <row r="203" spans="2:12" ht="40.25" customHeight="1" x14ac:dyDescent="0.2">
      <c r="B203" s="28"/>
      <c r="C203" s="28"/>
      <c r="D203" s="21"/>
      <c r="L203" s="69"/>
    </row>
    <row r="204" spans="2:12" ht="40.25" customHeight="1" x14ac:dyDescent="0.2">
      <c r="B204" s="28"/>
      <c r="C204" s="28"/>
      <c r="D204" s="21"/>
      <c r="L204" s="69"/>
    </row>
    <row r="205" spans="2:12" ht="40.25" customHeight="1" x14ac:dyDescent="0.2">
      <c r="B205" s="28"/>
      <c r="C205" s="28"/>
      <c r="D205" s="21"/>
      <c r="L205" s="69"/>
    </row>
    <row r="206" spans="2:12" ht="40.25" customHeight="1" x14ac:dyDescent="0.2">
      <c r="B206" s="28"/>
      <c r="C206" s="28"/>
      <c r="D206" s="21"/>
      <c r="L206" s="69"/>
    </row>
    <row r="207" spans="2:12" ht="40.25" customHeight="1" x14ac:dyDescent="0.2">
      <c r="B207" s="28"/>
      <c r="C207" s="28"/>
      <c r="D207" s="21"/>
      <c r="L207" s="69"/>
    </row>
    <row r="208" spans="2:12" ht="40.25" customHeight="1" x14ac:dyDescent="0.2">
      <c r="B208" s="28"/>
      <c r="C208" s="28"/>
      <c r="D208" s="21"/>
      <c r="L208" s="69"/>
    </row>
    <row r="209" spans="2:12" ht="40.25" customHeight="1" x14ac:dyDescent="0.2">
      <c r="B209" s="28"/>
      <c r="C209" s="28"/>
      <c r="D209" s="21"/>
      <c r="L209" s="69"/>
    </row>
    <row r="210" spans="2:12" ht="40.25" customHeight="1" x14ac:dyDescent="0.2">
      <c r="B210" s="28"/>
      <c r="C210" s="28"/>
      <c r="D210" s="21"/>
      <c r="L210" s="69"/>
    </row>
    <row r="211" spans="2:12" ht="40.25" customHeight="1" x14ac:dyDescent="0.2">
      <c r="B211" s="28"/>
      <c r="C211" s="28"/>
      <c r="D211" s="21"/>
      <c r="L211" s="69"/>
    </row>
    <row r="212" spans="2:12" ht="40.25" customHeight="1" x14ac:dyDescent="0.2">
      <c r="B212" s="28"/>
      <c r="C212" s="28"/>
      <c r="D212" s="21"/>
      <c r="L212" s="69"/>
    </row>
    <row r="213" spans="2:12" ht="40.25" customHeight="1" x14ac:dyDescent="0.2">
      <c r="B213" s="28"/>
      <c r="C213" s="28"/>
      <c r="D213" s="21"/>
      <c r="L213" s="69"/>
    </row>
    <row r="214" spans="2:12" ht="40.25" customHeight="1" x14ac:dyDescent="0.2">
      <c r="B214" s="28"/>
      <c r="C214" s="28"/>
      <c r="D214" s="21"/>
      <c r="L214" s="69"/>
    </row>
    <row r="215" spans="2:12" ht="40.25" customHeight="1" x14ac:dyDescent="0.2">
      <c r="B215" s="28"/>
      <c r="C215" s="28"/>
      <c r="D215" s="21"/>
      <c r="L215" s="69"/>
    </row>
    <row r="216" spans="2:12" ht="40.25" customHeight="1" x14ac:dyDescent="0.2">
      <c r="B216" s="28"/>
      <c r="C216" s="28"/>
      <c r="D216" s="21"/>
      <c r="L216" s="69"/>
    </row>
    <row r="217" spans="2:12" ht="40.25" customHeight="1" x14ac:dyDescent="0.2">
      <c r="B217" s="28"/>
      <c r="C217" s="28"/>
      <c r="D217" s="21"/>
      <c r="L217" s="69"/>
    </row>
    <row r="218" spans="2:12" ht="40.25" customHeight="1" x14ac:dyDescent="0.2">
      <c r="B218" s="28"/>
      <c r="C218" s="28"/>
      <c r="D218" s="21"/>
      <c r="L218" s="69"/>
    </row>
    <row r="219" spans="2:12" ht="40.25" customHeight="1" x14ac:dyDescent="0.2">
      <c r="B219" s="28"/>
      <c r="C219" s="28"/>
      <c r="D219" s="21"/>
      <c r="L219" s="69"/>
    </row>
    <row r="220" spans="2:12" ht="40.25" customHeight="1" x14ac:dyDescent="0.2">
      <c r="B220" s="28"/>
      <c r="C220" s="28"/>
      <c r="D220" s="21"/>
      <c r="L220" s="69"/>
    </row>
    <row r="221" spans="2:12" ht="40.25" customHeight="1" x14ac:dyDescent="0.2">
      <c r="B221" s="28"/>
      <c r="C221" s="28"/>
      <c r="D221" s="21"/>
      <c r="L221" s="69"/>
    </row>
    <row r="222" spans="2:12" ht="40.25" customHeight="1" x14ac:dyDescent="0.2">
      <c r="B222" s="28"/>
      <c r="C222" s="28"/>
      <c r="D222" s="21"/>
      <c r="L222" s="69"/>
    </row>
    <row r="223" spans="2:12" ht="40.25" customHeight="1" x14ac:dyDescent="0.2">
      <c r="B223" s="28"/>
      <c r="C223" s="28"/>
      <c r="D223" s="21"/>
      <c r="L223" s="69"/>
    </row>
    <row r="224" spans="2:12" ht="40.25" customHeight="1" x14ac:dyDescent="0.2">
      <c r="B224" s="28"/>
      <c r="C224" s="28"/>
      <c r="D224" s="21"/>
      <c r="L224" s="69"/>
    </row>
    <row r="225" spans="2:12" ht="40.25" customHeight="1" x14ac:dyDescent="0.2">
      <c r="B225" s="28"/>
      <c r="C225" s="28"/>
      <c r="D225" s="21"/>
      <c r="L225" s="69"/>
    </row>
    <row r="226" spans="2:12" ht="40.25" customHeight="1" x14ac:dyDescent="0.2">
      <c r="B226" s="28"/>
      <c r="C226" s="28"/>
      <c r="D226" s="21"/>
      <c r="L226" s="69"/>
    </row>
    <row r="227" spans="2:12" ht="40.25" customHeight="1" x14ac:dyDescent="0.2">
      <c r="B227" s="28"/>
      <c r="C227" s="28"/>
      <c r="D227" s="21"/>
      <c r="L227" s="69"/>
    </row>
    <row r="228" spans="2:12" ht="40.25" customHeight="1" x14ac:dyDescent="0.2">
      <c r="B228" s="28"/>
      <c r="C228" s="28"/>
      <c r="D228" s="21"/>
      <c r="L228" s="69"/>
    </row>
    <row r="229" spans="2:12" ht="40.25" customHeight="1" x14ac:dyDescent="0.2">
      <c r="B229" s="28"/>
      <c r="C229" s="28"/>
      <c r="D229" s="21"/>
      <c r="L229" s="69"/>
    </row>
    <row r="230" spans="2:12" ht="40.25" customHeight="1" x14ac:dyDescent="0.2">
      <c r="B230" s="28"/>
      <c r="C230" s="28"/>
      <c r="D230" s="21"/>
      <c r="L230" s="69"/>
    </row>
    <row r="231" spans="2:12" ht="40.25" customHeight="1" x14ac:dyDescent="0.2">
      <c r="B231" s="28"/>
      <c r="C231" s="28"/>
      <c r="D231" s="21"/>
      <c r="L231" s="69"/>
    </row>
    <row r="232" spans="2:12" ht="40.25" customHeight="1" x14ac:dyDescent="0.2">
      <c r="B232" s="28"/>
      <c r="C232" s="28"/>
      <c r="D232" s="21"/>
      <c r="L232" s="69"/>
    </row>
    <row r="233" spans="2:12" ht="40.25" customHeight="1" x14ac:dyDescent="0.2">
      <c r="B233" s="28"/>
      <c r="C233" s="28"/>
      <c r="D233" s="21"/>
      <c r="L233" s="69"/>
    </row>
    <row r="234" spans="2:12" ht="40.25" customHeight="1" x14ac:dyDescent="0.2">
      <c r="B234" s="28"/>
      <c r="C234" s="28"/>
      <c r="D234" s="21"/>
      <c r="L234" s="69"/>
    </row>
    <row r="235" spans="2:12" ht="40.25" customHeight="1" x14ac:dyDescent="0.2">
      <c r="B235" s="28"/>
      <c r="C235" s="28"/>
      <c r="D235" s="21"/>
      <c r="L235" s="69"/>
    </row>
    <row r="236" spans="2:12" ht="40.25" customHeight="1" x14ac:dyDescent="0.2">
      <c r="B236" s="28"/>
      <c r="C236" s="28"/>
      <c r="D236" s="21"/>
      <c r="L236" s="69"/>
    </row>
    <row r="237" spans="2:12" ht="40.25" customHeight="1" x14ac:dyDescent="0.2">
      <c r="B237" s="28"/>
      <c r="C237" s="28"/>
      <c r="D237" s="21"/>
      <c r="L237" s="69"/>
    </row>
    <row r="238" spans="2:12" ht="40.25" customHeight="1" x14ac:dyDescent="0.2">
      <c r="B238" s="28"/>
      <c r="C238" s="28"/>
      <c r="D238" s="21"/>
      <c r="L238" s="69"/>
    </row>
    <row r="239" spans="2:12" ht="40.25" customHeight="1" x14ac:dyDescent="0.2">
      <c r="B239" s="28"/>
      <c r="C239" s="28"/>
      <c r="D239" s="21"/>
      <c r="L239" s="69"/>
    </row>
    <row r="240" spans="2:12" ht="40.25" customHeight="1" x14ac:dyDescent="0.2">
      <c r="B240" s="28"/>
      <c r="C240" s="28"/>
      <c r="D240" s="21"/>
      <c r="L240" s="69"/>
    </row>
    <row r="241" spans="2:12" ht="40.25" customHeight="1" x14ac:dyDescent="0.2">
      <c r="B241" s="28"/>
      <c r="C241" s="28"/>
      <c r="D241" s="21"/>
      <c r="L241" s="69"/>
    </row>
    <row r="242" spans="2:12" ht="40.25" customHeight="1" x14ac:dyDescent="0.2">
      <c r="B242" s="28"/>
      <c r="C242" s="28"/>
      <c r="D242" s="21"/>
      <c r="L242" s="69"/>
    </row>
    <row r="243" spans="2:12" ht="40.25" customHeight="1" x14ac:dyDescent="0.2">
      <c r="B243" s="28"/>
      <c r="C243" s="28"/>
      <c r="D243" s="21"/>
      <c r="L243" s="69"/>
    </row>
    <row r="244" spans="2:12" ht="40.25" customHeight="1" x14ac:dyDescent="0.2">
      <c r="B244" s="28"/>
      <c r="C244" s="28"/>
      <c r="D244" s="21"/>
      <c r="L244" s="69"/>
    </row>
    <row r="245" spans="2:12" ht="40.25" customHeight="1" x14ac:dyDescent="0.2">
      <c r="B245" s="28"/>
      <c r="C245" s="28"/>
      <c r="D245" s="21"/>
      <c r="L245" s="69"/>
    </row>
    <row r="246" spans="2:12" ht="40.25" customHeight="1" x14ac:dyDescent="0.2">
      <c r="L246" s="69"/>
    </row>
    <row r="247" spans="2:12" ht="40.25" customHeight="1" x14ac:dyDescent="0.2">
      <c r="L247" s="69"/>
    </row>
    <row r="248" spans="2:12" ht="40.25" customHeight="1" x14ac:dyDescent="0.2">
      <c r="L248" s="69"/>
    </row>
    <row r="249" spans="2:12" ht="40.25" customHeight="1" x14ac:dyDescent="0.2">
      <c r="L249" s="69"/>
    </row>
    <row r="250" spans="2:12" ht="40.25" customHeight="1" x14ac:dyDescent="0.2">
      <c r="L250" s="69"/>
    </row>
    <row r="251" spans="2:12" ht="40.25" customHeight="1" x14ac:dyDescent="0.2">
      <c r="L251" s="69"/>
    </row>
    <row r="252" spans="2:12" ht="40.25" customHeight="1" x14ac:dyDescent="0.2">
      <c r="L252" s="69"/>
    </row>
    <row r="253" spans="2:12" ht="40.25" customHeight="1" x14ac:dyDescent="0.2">
      <c r="L253" s="69"/>
    </row>
    <row r="254" spans="2:12" ht="40.25" customHeight="1" x14ac:dyDescent="0.2">
      <c r="L254" s="69"/>
    </row>
    <row r="255" spans="2:12" ht="40.25" customHeight="1" x14ac:dyDescent="0.2">
      <c r="L255" s="69"/>
    </row>
    <row r="256" spans="2:12" ht="40.25" customHeight="1" x14ac:dyDescent="0.2">
      <c r="L256" s="69"/>
    </row>
    <row r="257" spans="12:20" ht="40.25" customHeight="1" x14ac:dyDescent="0.2">
      <c r="L257" s="69"/>
    </row>
    <row r="258" spans="12:20" ht="40.25" customHeight="1" x14ac:dyDescent="0.2">
      <c r="L258" s="69"/>
    </row>
    <row r="259" spans="12:20" ht="40.25" customHeight="1" x14ac:dyDescent="0.2">
      <c r="L259" s="69"/>
    </row>
    <row r="260" spans="12:20" ht="40.25" customHeight="1" x14ac:dyDescent="0.2">
      <c r="L260" s="69"/>
    </row>
    <row r="261" spans="12:20" ht="40.25" customHeight="1" x14ac:dyDescent="0.2">
      <c r="L261" s="69"/>
    </row>
    <row r="262" spans="12:20" ht="40.25" customHeight="1" x14ac:dyDescent="0.2">
      <c r="L262" s="69"/>
    </row>
    <row r="263" spans="12:20" ht="40.25" customHeight="1" x14ac:dyDescent="0.2">
      <c r="L263" s="69"/>
    </row>
    <row r="264" spans="12:20" ht="40.25" customHeight="1" x14ac:dyDescent="0.2">
      <c r="L264" s="69"/>
    </row>
    <row r="265" spans="12:20" ht="40.25" customHeight="1" x14ac:dyDescent="0.2">
      <c r="L265" s="69"/>
      <c r="S265" s="165"/>
    </row>
    <row r="266" spans="12:20" ht="40.25" customHeight="1" x14ac:dyDescent="0.2">
      <c r="L266" s="69"/>
    </row>
    <row r="267" spans="12:20" ht="40.25" customHeight="1" x14ac:dyDescent="0.2">
      <c r="L267" s="69"/>
      <c r="T267" s="165"/>
    </row>
    <row r="268" spans="12:20" ht="40.25" customHeight="1" x14ac:dyDescent="0.2">
      <c r="L268" s="69"/>
    </row>
    <row r="269" spans="12:20" ht="40.25" customHeight="1" x14ac:dyDescent="0.2">
      <c r="L269" s="69"/>
    </row>
    <row r="270" spans="12:20" ht="40.25" customHeight="1" x14ac:dyDescent="0.2">
      <c r="L270" s="69"/>
    </row>
    <row r="271" spans="12:20" ht="40.25" customHeight="1" x14ac:dyDescent="0.2">
      <c r="L271" s="69"/>
    </row>
    <row r="272" spans="12:20" ht="40.25" customHeight="1" x14ac:dyDescent="0.2">
      <c r="L272" s="69"/>
    </row>
    <row r="273" spans="12:20" ht="40.25" customHeight="1" x14ac:dyDescent="0.2">
      <c r="L273" s="69"/>
    </row>
    <row r="274" spans="12:20" ht="40.25" customHeight="1" x14ac:dyDescent="0.2">
      <c r="L274" s="69"/>
      <c r="S274" s="166"/>
    </row>
    <row r="275" spans="12:20" ht="40.25" customHeight="1" x14ac:dyDescent="0.2">
      <c r="L275" s="69"/>
      <c r="S275" s="166"/>
    </row>
    <row r="276" spans="12:20" ht="40.25" customHeight="1" x14ac:dyDescent="0.2">
      <c r="L276" s="69"/>
      <c r="S276" s="166"/>
      <c r="T276" s="166"/>
    </row>
    <row r="277" spans="12:20" ht="40.25" customHeight="1" x14ac:dyDescent="0.2">
      <c r="L277" s="69"/>
      <c r="T277" s="166"/>
    </row>
    <row r="278" spans="12:20" ht="40.25" customHeight="1" x14ac:dyDescent="0.2">
      <c r="L278" s="69"/>
      <c r="T278" s="166"/>
    </row>
    <row r="279" spans="12:20" ht="40.25" customHeight="1" x14ac:dyDescent="0.2">
      <c r="L279" s="69"/>
    </row>
    <row r="280" spans="12:20" ht="40.25" customHeight="1" x14ac:dyDescent="0.2">
      <c r="L280" s="69"/>
    </row>
    <row r="281" spans="12:20" ht="40.25" customHeight="1" x14ac:dyDescent="0.2">
      <c r="L281" s="69"/>
    </row>
    <row r="282" spans="12:20" ht="40.25" customHeight="1" x14ac:dyDescent="0.2">
      <c r="L282" s="69"/>
    </row>
    <row r="283" spans="12:20" ht="40.25" customHeight="1" x14ac:dyDescent="0.2">
      <c r="L283" s="69"/>
    </row>
    <row r="284" spans="12:20" ht="40.25" customHeight="1" x14ac:dyDescent="0.2">
      <c r="L284" s="69"/>
    </row>
    <row r="285" spans="12:20" ht="40.25" customHeight="1" x14ac:dyDescent="0.2">
      <c r="L285" s="69"/>
    </row>
    <row r="286" spans="12:20" ht="40.25" customHeight="1" x14ac:dyDescent="0.2">
      <c r="L286" s="69"/>
    </row>
    <row r="287" spans="12:20" ht="40.25" customHeight="1" x14ac:dyDescent="0.2">
      <c r="L287" s="69"/>
    </row>
    <row r="288" spans="12:20" ht="40.25" customHeight="1" x14ac:dyDescent="0.2">
      <c r="L288" s="69"/>
    </row>
    <row r="289" spans="12:12" ht="40.25" customHeight="1" x14ac:dyDescent="0.2">
      <c r="L289" s="69"/>
    </row>
    <row r="290" spans="12:12" ht="40.25" customHeight="1" x14ac:dyDescent="0.2">
      <c r="L290" s="69"/>
    </row>
    <row r="291" spans="12:12" ht="40.25" customHeight="1" x14ac:dyDescent="0.2">
      <c r="L291" s="69"/>
    </row>
    <row r="292" spans="12:12" ht="40.25" customHeight="1" x14ac:dyDescent="0.2">
      <c r="L292" s="69"/>
    </row>
    <row r="293" spans="12:12" ht="40.25" customHeight="1" x14ac:dyDescent="0.2">
      <c r="L293" s="69"/>
    </row>
    <row r="294" spans="12:12" ht="40.25" customHeight="1" x14ac:dyDescent="0.2">
      <c r="L294" s="69"/>
    </row>
    <row r="295" spans="12:12" ht="40.25" customHeight="1" x14ac:dyDescent="0.2">
      <c r="L295" s="69"/>
    </row>
    <row r="296" spans="12:12" ht="40.25" customHeight="1" x14ac:dyDescent="0.2">
      <c r="L296" s="69"/>
    </row>
    <row r="297" spans="12:12" ht="40.25" customHeight="1" x14ac:dyDescent="0.2">
      <c r="L297" s="69"/>
    </row>
    <row r="298" spans="12:12" ht="40.25" customHeight="1" x14ac:dyDescent="0.2">
      <c r="L298" s="69"/>
    </row>
    <row r="299" spans="12:12" ht="40.25" customHeight="1" x14ac:dyDescent="0.2">
      <c r="L299" s="69"/>
    </row>
    <row r="300" spans="12:12" ht="40.25" customHeight="1" x14ac:dyDescent="0.2">
      <c r="L300" s="69"/>
    </row>
    <row r="301" spans="12:12" ht="40.25" customHeight="1" x14ac:dyDescent="0.2">
      <c r="L301" s="69"/>
    </row>
    <row r="302" spans="12:12" ht="40.25" customHeight="1" x14ac:dyDescent="0.2">
      <c r="L302" s="69"/>
    </row>
    <row r="303" spans="12:12" ht="40.25" customHeight="1" x14ac:dyDescent="0.2">
      <c r="L303" s="69"/>
    </row>
    <row r="304" spans="12:12" ht="40.25" customHeight="1" x14ac:dyDescent="0.2">
      <c r="L304" s="69"/>
    </row>
    <row r="305" spans="12:12" ht="40.25" customHeight="1" x14ac:dyDescent="0.2">
      <c r="L305" s="69"/>
    </row>
    <row r="306" spans="12:12" ht="40.25" customHeight="1" x14ac:dyDescent="0.2">
      <c r="L306" s="69"/>
    </row>
    <row r="307" spans="12:12" ht="40.25" customHeight="1" x14ac:dyDescent="0.2">
      <c r="L307" s="69"/>
    </row>
    <row r="308" spans="12:12" ht="40.25" customHeight="1" x14ac:dyDescent="0.2">
      <c r="L308" s="69"/>
    </row>
    <row r="309" spans="12:12" ht="40.25" customHeight="1" x14ac:dyDescent="0.2">
      <c r="L309" s="69"/>
    </row>
    <row r="310" spans="12:12" ht="40.25" customHeight="1" x14ac:dyDescent="0.2">
      <c r="L310" s="69"/>
    </row>
    <row r="311" spans="12:12" ht="40.25" customHeight="1" x14ac:dyDescent="0.2">
      <c r="L311" s="69"/>
    </row>
    <row r="312" spans="12:12" ht="40.25" customHeight="1" x14ac:dyDescent="0.2">
      <c r="L312" s="69"/>
    </row>
    <row r="313" spans="12:12" ht="40.25" customHeight="1" x14ac:dyDescent="0.2">
      <c r="L313" s="69"/>
    </row>
    <row r="314" spans="12:12" ht="40.25" customHeight="1" x14ac:dyDescent="0.2">
      <c r="L314" s="69"/>
    </row>
    <row r="315" spans="12:12" ht="40.25" customHeight="1" x14ac:dyDescent="0.2">
      <c r="L315" s="69"/>
    </row>
    <row r="316" spans="12:12" ht="40.25" customHeight="1" x14ac:dyDescent="0.2">
      <c r="L316" s="69"/>
    </row>
    <row r="317" spans="12:12" ht="40.25" customHeight="1" x14ac:dyDescent="0.2">
      <c r="L317" s="69"/>
    </row>
    <row r="318" spans="12:12" ht="40.25" customHeight="1" x14ac:dyDescent="0.2">
      <c r="L318" s="69"/>
    </row>
    <row r="319" spans="12:12" ht="40.25" customHeight="1" x14ac:dyDescent="0.2">
      <c r="L319" s="69"/>
    </row>
    <row r="320" spans="12:12" ht="40.25" customHeight="1" x14ac:dyDescent="0.2">
      <c r="L320" s="69"/>
    </row>
    <row r="321" spans="12:12" ht="40.25" customHeight="1" x14ac:dyDescent="0.2">
      <c r="L321" s="69"/>
    </row>
    <row r="322" spans="12:12" ht="40.25" customHeight="1" x14ac:dyDescent="0.2">
      <c r="L322" s="69"/>
    </row>
    <row r="323" spans="12:12" ht="40.25" customHeight="1" x14ac:dyDescent="0.2">
      <c r="L323" s="69"/>
    </row>
    <row r="324" spans="12:12" ht="40.25" customHeight="1" x14ac:dyDescent="0.2">
      <c r="L324" s="69"/>
    </row>
    <row r="325" spans="12:12" ht="40.25" customHeight="1" x14ac:dyDescent="0.2">
      <c r="L325" s="69"/>
    </row>
    <row r="326" spans="12:12" ht="40.25" customHeight="1" x14ac:dyDescent="0.2">
      <c r="L326" s="69"/>
    </row>
    <row r="327" spans="12:12" ht="40.25" customHeight="1" x14ac:dyDescent="0.2">
      <c r="L327" s="69"/>
    </row>
    <row r="328" spans="12:12" x14ac:dyDescent="0.2">
      <c r="L328" s="69"/>
    </row>
    <row r="329" spans="12:12" x14ac:dyDescent="0.2">
      <c r="L329" s="69"/>
    </row>
    <row r="330" spans="12:12" x14ac:dyDescent="0.2">
      <c r="L330" s="69"/>
    </row>
    <row r="331" spans="12:12" x14ac:dyDescent="0.2">
      <c r="L331" s="69"/>
    </row>
    <row r="332" spans="12:12" x14ac:dyDescent="0.2">
      <c r="L332" s="69"/>
    </row>
    <row r="333" spans="12:12" x14ac:dyDescent="0.2">
      <c r="L333" s="69"/>
    </row>
    <row r="334" spans="12:12" x14ac:dyDescent="0.2">
      <c r="L334" s="69"/>
    </row>
    <row r="335" spans="12:12" x14ac:dyDescent="0.2">
      <c r="L335" s="69"/>
    </row>
    <row r="336" spans="12:12" x14ac:dyDescent="0.2">
      <c r="L336" s="69"/>
    </row>
    <row r="337" spans="12:12" x14ac:dyDescent="0.2">
      <c r="L337" s="69"/>
    </row>
    <row r="338" spans="12:12" x14ac:dyDescent="0.2">
      <c r="L338" s="69"/>
    </row>
    <row r="339" spans="12:12" x14ac:dyDescent="0.2">
      <c r="L339" s="69"/>
    </row>
    <row r="340" spans="12:12" x14ac:dyDescent="0.2">
      <c r="L340" s="69"/>
    </row>
    <row r="341" spans="12:12" x14ac:dyDescent="0.2">
      <c r="L341" s="69"/>
    </row>
    <row r="342" spans="12:12" x14ac:dyDescent="0.2">
      <c r="L342" s="69"/>
    </row>
    <row r="343" spans="12:12" x14ac:dyDescent="0.2">
      <c r="L343" s="69"/>
    </row>
    <row r="344" spans="12:12" x14ac:dyDescent="0.2">
      <c r="L344" s="69"/>
    </row>
    <row r="345" spans="12:12" x14ac:dyDescent="0.2">
      <c r="L345" s="69"/>
    </row>
    <row r="346" spans="12:12" x14ac:dyDescent="0.2">
      <c r="L346" s="69"/>
    </row>
    <row r="347" spans="12:12" x14ac:dyDescent="0.2">
      <c r="L347" s="69"/>
    </row>
    <row r="348" spans="12:12" x14ac:dyDescent="0.2">
      <c r="L348" s="69"/>
    </row>
    <row r="349" spans="12:12" x14ac:dyDescent="0.2">
      <c r="L349" s="69"/>
    </row>
    <row r="350" spans="12:12" x14ac:dyDescent="0.2">
      <c r="L350" s="69"/>
    </row>
    <row r="351" spans="12:12" x14ac:dyDescent="0.2">
      <c r="L351" s="69"/>
    </row>
    <row r="352" spans="12:12" x14ac:dyDescent="0.2">
      <c r="L352" s="69"/>
    </row>
    <row r="353" spans="12:12" x14ac:dyDescent="0.2">
      <c r="L353" s="69"/>
    </row>
    <row r="354" spans="12:12" x14ac:dyDescent="0.2">
      <c r="L354" s="69"/>
    </row>
    <row r="355" spans="12:12" x14ac:dyDescent="0.2">
      <c r="L355" s="69"/>
    </row>
    <row r="356" spans="12:12" x14ac:dyDescent="0.2">
      <c r="L356" s="69"/>
    </row>
    <row r="357" spans="12:12" x14ac:dyDescent="0.2">
      <c r="L357" s="69"/>
    </row>
    <row r="358" spans="12:12" x14ac:dyDescent="0.2">
      <c r="L358" s="69"/>
    </row>
    <row r="359" spans="12:12" x14ac:dyDescent="0.2">
      <c r="L359" s="69"/>
    </row>
    <row r="360" spans="12:12" x14ac:dyDescent="0.2">
      <c r="L360" s="69"/>
    </row>
    <row r="361" spans="12:12" x14ac:dyDescent="0.2">
      <c r="L361" s="69"/>
    </row>
    <row r="362" spans="12:12" x14ac:dyDescent="0.2">
      <c r="L362" s="69"/>
    </row>
    <row r="363" spans="12:12" x14ac:dyDescent="0.2">
      <c r="L363" s="69"/>
    </row>
    <row r="364" spans="12:12" x14ac:dyDescent="0.2">
      <c r="L364" s="69"/>
    </row>
    <row r="365" spans="12:12" x14ac:dyDescent="0.2">
      <c r="L365" s="69"/>
    </row>
    <row r="366" spans="12:12" x14ac:dyDescent="0.2">
      <c r="L366" s="69"/>
    </row>
    <row r="367" spans="12:12" x14ac:dyDescent="0.2">
      <c r="L367" s="69"/>
    </row>
    <row r="368" spans="12:12" x14ac:dyDescent="0.2">
      <c r="L368" s="69"/>
    </row>
    <row r="369" spans="12:12" x14ac:dyDescent="0.2">
      <c r="L369" s="69"/>
    </row>
    <row r="370" spans="12:12" x14ac:dyDescent="0.2">
      <c r="L370" s="69"/>
    </row>
    <row r="371" spans="12:12" x14ac:dyDescent="0.2">
      <c r="L371" s="69"/>
    </row>
    <row r="372" spans="12:12" x14ac:dyDescent="0.2">
      <c r="L372" s="69"/>
    </row>
    <row r="373" spans="12:12" x14ac:dyDescent="0.2">
      <c r="L373" s="69"/>
    </row>
    <row r="374" spans="12:12" x14ac:dyDescent="0.2">
      <c r="L374" s="69"/>
    </row>
    <row r="375" spans="12:12" x14ac:dyDescent="0.2">
      <c r="L375" s="69"/>
    </row>
    <row r="376" spans="12:12" x14ac:dyDescent="0.2">
      <c r="L376" s="69"/>
    </row>
    <row r="377" spans="12:12" x14ac:dyDescent="0.2">
      <c r="L377" s="69"/>
    </row>
    <row r="378" spans="12:12" x14ac:dyDescent="0.2">
      <c r="L378" s="69"/>
    </row>
    <row r="379" spans="12:12" x14ac:dyDescent="0.2">
      <c r="L379" s="69"/>
    </row>
    <row r="380" spans="12:12" x14ac:dyDescent="0.2">
      <c r="L380" s="69"/>
    </row>
    <row r="381" spans="12:12" x14ac:dyDescent="0.2">
      <c r="L381" s="69"/>
    </row>
    <row r="382" spans="12:12" x14ac:dyDescent="0.2">
      <c r="L382" s="69"/>
    </row>
    <row r="383" spans="12:12" x14ac:dyDescent="0.2">
      <c r="L383" s="69"/>
    </row>
    <row r="384" spans="12:12" x14ac:dyDescent="0.2">
      <c r="L384" s="69"/>
    </row>
    <row r="385" spans="12:12" x14ac:dyDescent="0.2">
      <c r="L385" s="69"/>
    </row>
    <row r="386" spans="12:12" x14ac:dyDescent="0.2">
      <c r="L386" s="69"/>
    </row>
    <row r="387" spans="12:12" x14ac:dyDescent="0.2">
      <c r="L387" s="69"/>
    </row>
    <row r="388" spans="12:12" x14ac:dyDescent="0.2">
      <c r="L388" s="69"/>
    </row>
    <row r="389" spans="12:12" x14ac:dyDescent="0.2">
      <c r="L389" s="69"/>
    </row>
    <row r="390" spans="12:12" x14ac:dyDescent="0.2">
      <c r="L390" s="69"/>
    </row>
    <row r="391" spans="12:12" x14ac:dyDescent="0.2">
      <c r="L391" s="69"/>
    </row>
    <row r="392" spans="12:12" x14ac:dyDescent="0.2">
      <c r="L392" s="69"/>
    </row>
    <row r="393" spans="12:12" x14ac:dyDescent="0.2">
      <c r="L393" s="69"/>
    </row>
    <row r="394" spans="12:12" x14ac:dyDescent="0.2">
      <c r="L394" s="69"/>
    </row>
    <row r="395" spans="12:12" x14ac:dyDescent="0.2">
      <c r="L395" s="69"/>
    </row>
    <row r="396" spans="12:12" x14ac:dyDescent="0.2">
      <c r="L396" s="69"/>
    </row>
    <row r="397" spans="12:12" x14ac:dyDescent="0.2">
      <c r="L397" s="69"/>
    </row>
    <row r="398" spans="12:12" x14ac:dyDescent="0.2">
      <c r="L398" s="69"/>
    </row>
    <row r="399" spans="12:12" x14ac:dyDescent="0.2">
      <c r="L399" s="69"/>
    </row>
    <row r="400" spans="12:12" x14ac:dyDescent="0.2">
      <c r="L400" s="69"/>
    </row>
  </sheetData>
  <autoFilter ref="A2:AM1590" xr:uid="{00000000-0009-0000-0000-000000000000}">
    <filterColumn colId="17" showButton="0"/>
    <filterColumn colId="18" showButton="0"/>
  </autoFilter>
  <mergeCells count="18">
    <mergeCell ref="E29:E30"/>
    <mergeCell ref="F29:F30"/>
    <mergeCell ref="E85:F85"/>
    <mergeCell ref="E86:F86"/>
    <mergeCell ref="R2:T2"/>
    <mergeCell ref="R15:T15"/>
    <mergeCell ref="O4:O5"/>
    <mergeCell ref="E4:E5"/>
    <mergeCell ref="F4:F5"/>
    <mergeCell ref="E7:E8"/>
    <mergeCell ref="F7:F8"/>
    <mergeCell ref="E10:E12"/>
    <mergeCell ref="F10:F12"/>
    <mergeCell ref="O19:O21"/>
    <mergeCell ref="O22:O24"/>
    <mergeCell ref="O29:O30"/>
    <mergeCell ref="B29:B30"/>
    <mergeCell ref="D29:D30"/>
  </mergeCells>
  <phoneticPr fontId="2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9"/>
  <sheetViews>
    <sheetView zoomScale="90" zoomScaleNormal="90" workbookViewId="0">
      <selection activeCell="M11" sqref="M11"/>
    </sheetView>
  </sheetViews>
  <sheetFormatPr baseColWidth="10" defaultColWidth="8.83203125" defaultRowHeight="15" x14ac:dyDescent="0.2"/>
  <cols>
    <col min="1" max="1" width="4" style="5" bestFit="1" customWidth="1"/>
    <col min="2" max="2" width="12.1640625" style="5" customWidth="1"/>
    <col min="3" max="3" width="57.1640625" style="5" customWidth="1"/>
    <col min="4" max="4" width="19.5" style="5" customWidth="1"/>
    <col min="5" max="5" width="8.83203125" style="5"/>
    <col min="6" max="6" width="0" style="5" hidden="1" customWidth="1"/>
    <col min="7" max="7" width="8.83203125" style="5"/>
    <col min="8" max="8" width="0" style="5" hidden="1" customWidth="1"/>
    <col min="9" max="9" width="12.33203125" style="5" customWidth="1"/>
    <col min="10" max="10" width="10.83203125" style="5" customWidth="1"/>
    <col min="11" max="11" width="12.33203125" style="138" customWidth="1"/>
    <col min="12" max="12" width="8.83203125" style="5"/>
    <col min="13" max="13" width="11.6640625" style="5" customWidth="1"/>
    <col min="14" max="14" width="8.83203125" style="5"/>
    <col min="15" max="15" width="33.1640625" style="5" bestFit="1" customWidth="1"/>
    <col min="16" max="16" width="16.33203125" style="5" bestFit="1" customWidth="1"/>
    <col min="17" max="17" width="17.6640625" style="5" bestFit="1" customWidth="1"/>
    <col min="18" max="18" width="10.33203125" style="5" bestFit="1" customWidth="1"/>
    <col min="19" max="16384" width="8.83203125" style="5"/>
  </cols>
  <sheetData>
    <row r="1" spans="1:18" ht="31" thickBot="1" x14ac:dyDescent="0.25">
      <c r="A1" s="34" t="s">
        <v>1</v>
      </c>
      <c r="B1" s="34" t="s">
        <v>20</v>
      </c>
      <c r="C1" s="34" t="s">
        <v>21</v>
      </c>
      <c r="D1" s="34" t="s">
        <v>22</v>
      </c>
      <c r="E1" s="34" t="s">
        <v>23</v>
      </c>
      <c r="F1" s="34" t="s">
        <v>24</v>
      </c>
      <c r="G1" s="34" t="s">
        <v>25</v>
      </c>
      <c r="H1" s="34" t="s">
        <v>26</v>
      </c>
      <c r="I1" s="34" t="s">
        <v>27</v>
      </c>
      <c r="J1" s="34" t="s">
        <v>28</v>
      </c>
      <c r="K1" s="137" t="s">
        <v>29</v>
      </c>
      <c r="L1" s="1"/>
      <c r="M1" s="2">
        <f>SUM(K2:K1109)</f>
        <v>9176</v>
      </c>
      <c r="N1" s="3" t="s">
        <v>30</v>
      </c>
      <c r="O1" s="3" t="s">
        <v>31</v>
      </c>
      <c r="P1" s="4" t="s">
        <v>32</v>
      </c>
      <c r="Q1" s="4" t="s">
        <v>33</v>
      </c>
      <c r="R1" s="4" t="s">
        <v>34</v>
      </c>
    </row>
    <row r="2" spans="1:18" ht="16" thickBot="1" x14ac:dyDescent="0.25">
      <c r="A2" s="8">
        <v>1</v>
      </c>
      <c r="B2" s="18">
        <v>45988</v>
      </c>
      <c r="C2" s="8" t="s">
        <v>326</v>
      </c>
      <c r="D2" s="8" t="s">
        <v>327</v>
      </c>
      <c r="E2" s="8">
        <v>1</v>
      </c>
      <c r="F2" s="8"/>
      <c r="G2" s="8">
        <v>3</v>
      </c>
      <c r="H2" s="8"/>
      <c r="I2" s="8">
        <v>3</v>
      </c>
      <c r="J2" s="8">
        <f>(E2+F2+G2+H2)*I2</f>
        <v>12</v>
      </c>
      <c r="K2" s="68">
        <f>(R$2*E2+F2*R$3+$R$4*G2+$R$5*H2)*I2</f>
        <v>252</v>
      </c>
      <c r="L2" s="1"/>
      <c r="M2" s="6">
        <f>SUM(J2:J1537)</f>
        <v>436</v>
      </c>
      <c r="N2" s="10">
        <v>1</v>
      </c>
      <c r="O2" s="11" t="s">
        <v>36</v>
      </c>
      <c r="P2" s="12" t="s">
        <v>37</v>
      </c>
      <c r="Q2" s="12" t="s">
        <v>38</v>
      </c>
      <c r="R2" s="13">
        <v>24</v>
      </c>
    </row>
    <row r="3" spans="1:18" ht="16" thickBot="1" x14ac:dyDescent="0.25">
      <c r="A3" s="8">
        <v>2</v>
      </c>
      <c r="B3" s="18"/>
      <c r="C3" s="8" t="s">
        <v>326</v>
      </c>
      <c r="D3" s="8" t="s">
        <v>174</v>
      </c>
      <c r="E3" s="8">
        <v>1</v>
      </c>
      <c r="F3" s="8"/>
      <c r="G3" s="8">
        <v>3</v>
      </c>
      <c r="H3" s="8"/>
      <c r="I3" s="8">
        <v>3</v>
      </c>
      <c r="J3" s="8">
        <f t="shared" ref="J3:J59" si="0">(E3+F3+G3+H3)*I3</f>
        <v>12</v>
      </c>
      <c r="K3" s="68">
        <f t="shared" ref="K3:K59" si="1">(R$2*E3+F3*R$3+$R$4*G3+$R$5*H3)*I3</f>
        <v>252</v>
      </c>
      <c r="L3" s="1"/>
      <c r="M3" s="7" t="s">
        <v>35</v>
      </c>
      <c r="N3" s="10">
        <v>2</v>
      </c>
      <c r="O3" s="11" t="s">
        <v>36</v>
      </c>
      <c r="P3" s="12" t="s">
        <v>39</v>
      </c>
      <c r="Q3" s="12"/>
      <c r="R3" s="13">
        <v>28</v>
      </c>
    </row>
    <row r="4" spans="1:18" x14ac:dyDescent="0.2">
      <c r="A4" s="8">
        <v>3</v>
      </c>
      <c r="B4" s="18">
        <v>45989</v>
      </c>
      <c r="C4" s="8" t="s">
        <v>326</v>
      </c>
      <c r="D4" s="8" t="s">
        <v>174</v>
      </c>
      <c r="E4" s="8">
        <v>1</v>
      </c>
      <c r="F4" s="8"/>
      <c r="G4" s="8">
        <v>3</v>
      </c>
      <c r="H4" s="8"/>
      <c r="I4" s="8">
        <v>1</v>
      </c>
      <c r="J4" s="8">
        <f t="shared" si="0"/>
        <v>4</v>
      </c>
      <c r="K4" s="68">
        <f t="shared" si="1"/>
        <v>84</v>
      </c>
      <c r="L4" s="1"/>
      <c r="M4" s="9"/>
      <c r="N4" s="14">
        <v>3</v>
      </c>
      <c r="O4" s="15" t="s">
        <v>40</v>
      </c>
      <c r="P4" s="16" t="s">
        <v>37</v>
      </c>
      <c r="Q4" s="16" t="s">
        <v>38</v>
      </c>
      <c r="R4" s="17">
        <v>20</v>
      </c>
    </row>
    <row r="5" spans="1:18" x14ac:dyDescent="0.2">
      <c r="A5" s="8">
        <v>4</v>
      </c>
      <c r="B5" s="18"/>
      <c r="C5" s="8" t="s">
        <v>326</v>
      </c>
      <c r="D5" s="8" t="s">
        <v>328</v>
      </c>
      <c r="E5" s="8">
        <v>1</v>
      </c>
      <c r="F5" s="8"/>
      <c r="G5" s="8">
        <v>2</v>
      </c>
      <c r="H5" s="8"/>
      <c r="I5" s="8">
        <v>1</v>
      </c>
      <c r="J5" s="8">
        <f t="shared" si="0"/>
        <v>3</v>
      </c>
      <c r="K5" s="68">
        <f t="shared" si="1"/>
        <v>64</v>
      </c>
      <c r="L5" s="1"/>
      <c r="M5" s="9"/>
      <c r="N5" s="14">
        <v>4</v>
      </c>
      <c r="O5" s="15" t="s">
        <v>40</v>
      </c>
      <c r="P5" s="16" t="s">
        <v>39</v>
      </c>
      <c r="Q5" s="16"/>
      <c r="R5" s="17">
        <v>22</v>
      </c>
    </row>
    <row r="6" spans="1:18" x14ac:dyDescent="0.2">
      <c r="A6" s="8">
        <v>5</v>
      </c>
      <c r="B6" s="18">
        <v>45990</v>
      </c>
      <c r="C6" s="8" t="s">
        <v>326</v>
      </c>
      <c r="D6" s="8" t="s">
        <v>327</v>
      </c>
      <c r="E6" s="8">
        <v>1</v>
      </c>
      <c r="F6" s="8"/>
      <c r="G6" s="8">
        <v>3</v>
      </c>
      <c r="H6" s="8"/>
      <c r="I6" s="8">
        <v>4</v>
      </c>
      <c r="J6" s="8">
        <f t="shared" si="0"/>
        <v>16</v>
      </c>
      <c r="K6" s="68">
        <f t="shared" si="1"/>
        <v>336</v>
      </c>
      <c r="L6" s="1"/>
      <c r="M6" s="9"/>
      <c r="N6" s="9"/>
      <c r="O6" s="9"/>
      <c r="P6" s="1"/>
      <c r="Q6" s="1"/>
      <c r="R6" s="1"/>
    </row>
    <row r="7" spans="1:18" x14ac:dyDescent="0.2">
      <c r="A7" s="8">
        <v>6</v>
      </c>
      <c r="B7" s="18">
        <v>45992</v>
      </c>
      <c r="C7" s="8" t="s">
        <v>326</v>
      </c>
      <c r="D7" s="8" t="s">
        <v>308</v>
      </c>
      <c r="E7" s="8">
        <v>1</v>
      </c>
      <c r="F7" s="8"/>
      <c r="G7" s="8">
        <v>2</v>
      </c>
      <c r="H7" s="8"/>
      <c r="I7" s="8">
        <v>1</v>
      </c>
      <c r="J7" s="8">
        <f t="shared" si="0"/>
        <v>3</v>
      </c>
      <c r="K7" s="68">
        <f t="shared" si="1"/>
        <v>64</v>
      </c>
      <c r="L7" s="1"/>
      <c r="M7" s="9"/>
      <c r="N7" s="9"/>
      <c r="O7" s="1"/>
      <c r="P7" s="1"/>
    </row>
    <row r="8" spans="1:18" x14ac:dyDescent="0.2">
      <c r="A8" s="8">
        <v>7</v>
      </c>
      <c r="B8" s="18"/>
      <c r="C8" s="8" t="s">
        <v>326</v>
      </c>
      <c r="D8" s="8" t="s">
        <v>162</v>
      </c>
      <c r="E8" s="8">
        <v>1</v>
      </c>
      <c r="F8" s="8"/>
      <c r="G8" s="8">
        <v>2</v>
      </c>
      <c r="H8" s="8"/>
      <c r="I8" s="8">
        <v>1</v>
      </c>
      <c r="J8" s="8">
        <f t="shared" si="0"/>
        <v>3</v>
      </c>
      <c r="K8" s="68">
        <f t="shared" si="1"/>
        <v>64</v>
      </c>
      <c r="L8" s="1"/>
      <c r="M8" s="9"/>
      <c r="N8" s="1"/>
      <c r="O8" s="1"/>
      <c r="P8" s="1"/>
    </row>
    <row r="9" spans="1:18" x14ac:dyDescent="0.2">
      <c r="A9" s="8">
        <v>8</v>
      </c>
      <c r="B9" s="18"/>
      <c r="C9" s="8" t="s">
        <v>326</v>
      </c>
      <c r="D9" s="8" t="s">
        <v>221</v>
      </c>
      <c r="E9" s="8">
        <v>1</v>
      </c>
      <c r="F9" s="8"/>
      <c r="G9" s="8">
        <v>3</v>
      </c>
      <c r="H9" s="8"/>
      <c r="I9" s="8">
        <v>3</v>
      </c>
      <c r="J9" s="8">
        <f t="shared" si="0"/>
        <v>12</v>
      </c>
      <c r="K9" s="68">
        <f t="shared" si="1"/>
        <v>252</v>
      </c>
      <c r="L9" s="1"/>
      <c r="M9" s="9"/>
      <c r="N9" s="1"/>
      <c r="O9" s="1"/>
      <c r="P9" s="1"/>
      <c r="Q9" s="1"/>
      <c r="R9" s="1"/>
    </row>
    <row r="10" spans="1:18" x14ac:dyDescent="0.2">
      <c r="A10" s="8">
        <v>9</v>
      </c>
      <c r="B10" s="18"/>
      <c r="C10" s="8" t="s">
        <v>326</v>
      </c>
      <c r="D10" s="8" t="s">
        <v>327</v>
      </c>
      <c r="E10" s="8">
        <v>1</v>
      </c>
      <c r="F10" s="8"/>
      <c r="G10" s="8">
        <v>3</v>
      </c>
      <c r="H10" s="8"/>
      <c r="I10" s="8">
        <v>2</v>
      </c>
      <c r="J10" s="8">
        <f t="shared" si="0"/>
        <v>8</v>
      </c>
      <c r="K10" s="68">
        <f t="shared" si="1"/>
        <v>168</v>
      </c>
      <c r="L10" s="1"/>
      <c r="M10" s="1"/>
      <c r="N10" s="9"/>
      <c r="O10" s="9"/>
      <c r="P10" s="1"/>
      <c r="Q10" s="1"/>
      <c r="R10" s="1"/>
    </row>
    <row r="11" spans="1:18" x14ac:dyDescent="0.2">
      <c r="A11" s="8">
        <v>10</v>
      </c>
      <c r="B11" s="18">
        <v>45993</v>
      </c>
      <c r="C11" s="8" t="s">
        <v>350</v>
      </c>
      <c r="D11" s="8" t="s">
        <v>352</v>
      </c>
      <c r="E11" s="8">
        <v>1</v>
      </c>
      <c r="F11" s="8"/>
      <c r="G11" s="8">
        <v>3</v>
      </c>
      <c r="H11" s="8"/>
      <c r="I11" s="8">
        <v>2</v>
      </c>
      <c r="J11" s="8">
        <f t="shared" si="0"/>
        <v>8</v>
      </c>
      <c r="K11" s="68">
        <f t="shared" si="1"/>
        <v>168</v>
      </c>
      <c r="L11" s="1"/>
      <c r="M11" s="1"/>
      <c r="N11" s="9"/>
      <c r="O11" s="9"/>
      <c r="P11" s="1"/>
      <c r="Q11" s="1"/>
      <c r="R11" s="1"/>
    </row>
    <row r="12" spans="1:18" x14ac:dyDescent="0.2">
      <c r="A12" s="8">
        <v>11</v>
      </c>
      <c r="B12" s="18"/>
      <c r="C12" s="8" t="s">
        <v>351</v>
      </c>
      <c r="D12" s="8" t="s">
        <v>352</v>
      </c>
      <c r="E12" s="8">
        <v>1</v>
      </c>
      <c r="F12" s="8"/>
      <c r="G12" s="8">
        <v>3</v>
      </c>
      <c r="H12" s="8"/>
      <c r="I12" s="8">
        <v>2</v>
      </c>
      <c r="J12" s="8">
        <f t="shared" si="0"/>
        <v>8</v>
      </c>
      <c r="K12" s="68">
        <f t="shared" si="1"/>
        <v>168</v>
      </c>
      <c r="L12" s="1"/>
      <c r="M12" s="9"/>
      <c r="N12" s="9"/>
      <c r="O12" s="9"/>
      <c r="P12" s="1"/>
      <c r="Q12" s="1"/>
      <c r="R12" s="1"/>
    </row>
    <row r="13" spans="1:18" x14ac:dyDescent="0.2">
      <c r="A13" s="8">
        <v>12</v>
      </c>
      <c r="B13" s="18"/>
      <c r="C13" s="8" t="s">
        <v>326</v>
      </c>
      <c r="D13" s="8" t="s">
        <v>353</v>
      </c>
      <c r="E13" s="8">
        <v>1</v>
      </c>
      <c r="F13" s="8"/>
      <c r="G13" s="8">
        <v>2</v>
      </c>
      <c r="H13" s="8"/>
      <c r="I13" s="8">
        <v>2</v>
      </c>
      <c r="J13" s="8">
        <f t="shared" si="0"/>
        <v>6</v>
      </c>
      <c r="K13" s="68">
        <f t="shared" si="1"/>
        <v>128</v>
      </c>
      <c r="L13" s="1"/>
      <c r="M13" s="9"/>
    </row>
    <row r="14" spans="1:18" x14ac:dyDescent="0.2">
      <c r="A14" s="8">
        <v>13</v>
      </c>
      <c r="B14" s="18"/>
      <c r="C14" s="8" t="s">
        <v>326</v>
      </c>
      <c r="D14" s="8" t="s">
        <v>354</v>
      </c>
      <c r="E14" s="8">
        <v>1</v>
      </c>
      <c r="F14" s="8"/>
      <c r="G14" s="8">
        <v>3</v>
      </c>
      <c r="H14" s="8"/>
      <c r="I14" s="8">
        <v>3</v>
      </c>
      <c r="J14" s="8">
        <f t="shared" si="0"/>
        <v>12</v>
      </c>
      <c r="K14" s="68">
        <f t="shared" si="1"/>
        <v>252</v>
      </c>
      <c r="L14" s="1"/>
      <c r="M14" s="9"/>
    </row>
    <row r="15" spans="1:18" x14ac:dyDescent="0.2">
      <c r="A15" s="8">
        <v>14</v>
      </c>
      <c r="B15" s="18"/>
      <c r="C15" s="8" t="s">
        <v>326</v>
      </c>
      <c r="D15" s="8" t="s">
        <v>355</v>
      </c>
      <c r="E15" s="8">
        <v>1</v>
      </c>
      <c r="F15" s="8"/>
      <c r="G15" s="8">
        <v>2</v>
      </c>
      <c r="H15" s="8"/>
      <c r="I15" s="8">
        <v>1</v>
      </c>
      <c r="J15" s="8">
        <f t="shared" si="0"/>
        <v>3</v>
      </c>
      <c r="K15" s="68">
        <f t="shared" si="1"/>
        <v>64</v>
      </c>
    </row>
    <row r="16" spans="1:18" x14ac:dyDescent="0.2">
      <c r="A16" s="8">
        <v>15</v>
      </c>
      <c r="B16" s="18"/>
      <c r="C16" s="8" t="s">
        <v>326</v>
      </c>
      <c r="D16" s="8" t="s">
        <v>356</v>
      </c>
      <c r="E16" s="8">
        <v>1</v>
      </c>
      <c r="F16" s="8"/>
      <c r="G16" s="8">
        <v>3</v>
      </c>
      <c r="H16" s="8"/>
      <c r="I16" s="8">
        <v>3</v>
      </c>
      <c r="J16" s="8">
        <f t="shared" si="0"/>
        <v>12</v>
      </c>
      <c r="K16" s="68">
        <f t="shared" si="1"/>
        <v>252</v>
      </c>
    </row>
    <row r="17" spans="1:11" x14ac:dyDescent="0.2">
      <c r="A17" s="8">
        <v>16</v>
      </c>
      <c r="B17" s="18">
        <v>45994</v>
      </c>
      <c r="C17" s="8" t="s">
        <v>326</v>
      </c>
      <c r="D17" s="8" t="s">
        <v>354</v>
      </c>
      <c r="E17" s="8">
        <v>1</v>
      </c>
      <c r="F17" s="8"/>
      <c r="G17" s="8">
        <v>2</v>
      </c>
      <c r="H17" s="8"/>
      <c r="I17" s="8">
        <v>1</v>
      </c>
      <c r="J17" s="8">
        <f t="shared" si="0"/>
        <v>3</v>
      </c>
      <c r="K17" s="68">
        <f t="shared" si="1"/>
        <v>64</v>
      </c>
    </row>
    <row r="18" spans="1:11" x14ac:dyDescent="0.2">
      <c r="A18" s="8">
        <v>17</v>
      </c>
      <c r="B18" s="18"/>
      <c r="C18" s="8" t="s">
        <v>326</v>
      </c>
      <c r="D18" s="8" t="s">
        <v>174</v>
      </c>
      <c r="E18" s="8">
        <v>1</v>
      </c>
      <c r="F18" s="8"/>
      <c r="G18" s="8">
        <v>1</v>
      </c>
      <c r="H18" s="8"/>
      <c r="I18" s="8">
        <v>1</v>
      </c>
      <c r="J18" s="8">
        <f t="shared" si="0"/>
        <v>2</v>
      </c>
      <c r="K18" s="68">
        <f t="shared" si="1"/>
        <v>44</v>
      </c>
    </row>
    <row r="19" spans="1:11" x14ac:dyDescent="0.2">
      <c r="A19" s="8">
        <v>18</v>
      </c>
      <c r="B19" s="18"/>
      <c r="C19" s="8" t="s">
        <v>326</v>
      </c>
      <c r="D19" s="8" t="s">
        <v>356</v>
      </c>
      <c r="E19" s="8">
        <v>1</v>
      </c>
      <c r="F19" s="8"/>
      <c r="G19" s="8">
        <v>3</v>
      </c>
      <c r="H19" s="8"/>
      <c r="I19" s="8">
        <v>3</v>
      </c>
      <c r="J19" s="8">
        <f t="shared" si="0"/>
        <v>12</v>
      </c>
      <c r="K19" s="68">
        <f t="shared" si="1"/>
        <v>252</v>
      </c>
    </row>
    <row r="20" spans="1:11" x14ac:dyDescent="0.2">
      <c r="A20" s="8">
        <v>19</v>
      </c>
      <c r="B20" s="18"/>
      <c r="C20" s="8" t="s">
        <v>326</v>
      </c>
      <c r="D20" s="8" t="s">
        <v>371</v>
      </c>
      <c r="E20" s="8">
        <v>1</v>
      </c>
      <c r="F20" s="8"/>
      <c r="G20" s="8">
        <v>3</v>
      </c>
      <c r="H20" s="8"/>
      <c r="I20" s="8">
        <v>3</v>
      </c>
      <c r="J20" s="8">
        <f t="shared" si="0"/>
        <v>12</v>
      </c>
      <c r="K20" s="68">
        <f t="shared" si="1"/>
        <v>252</v>
      </c>
    </row>
    <row r="21" spans="1:11" x14ac:dyDescent="0.2">
      <c r="A21" s="8">
        <v>20</v>
      </c>
      <c r="B21" s="18">
        <v>45995</v>
      </c>
      <c r="C21" s="8" t="s">
        <v>326</v>
      </c>
      <c r="D21" s="8" t="s">
        <v>165</v>
      </c>
      <c r="E21" s="8">
        <v>1</v>
      </c>
      <c r="F21" s="8"/>
      <c r="G21" s="8">
        <v>3</v>
      </c>
      <c r="H21" s="8"/>
      <c r="I21" s="8">
        <v>2</v>
      </c>
      <c r="J21" s="8">
        <f t="shared" si="0"/>
        <v>8</v>
      </c>
      <c r="K21" s="68">
        <f t="shared" si="1"/>
        <v>168</v>
      </c>
    </row>
    <row r="22" spans="1:11" x14ac:dyDescent="0.2">
      <c r="A22" s="8">
        <v>21</v>
      </c>
      <c r="B22" s="18"/>
      <c r="C22" s="8" t="s">
        <v>326</v>
      </c>
      <c r="D22" s="8" t="s">
        <v>372</v>
      </c>
      <c r="E22" s="8">
        <v>1</v>
      </c>
      <c r="F22" s="8"/>
      <c r="G22" s="8">
        <v>3</v>
      </c>
      <c r="H22" s="8"/>
      <c r="I22" s="8">
        <v>1</v>
      </c>
      <c r="J22" s="8">
        <f t="shared" si="0"/>
        <v>4</v>
      </c>
      <c r="K22" s="68">
        <f t="shared" si="1"/>
        <v>84</v>
      </c>
    </row>
    <row r="23" spans="1:11" x14ac:dyDescent="0.2">
      <c r="A23" s="8">
        <v>22</v>
      </c>
      <c r="B23" s="18"/>
      <c r="C23" s="8" t="s">
        <v>326</v>
      </c>
      <c r="D23" s="8" t="s">
        <v>356</v>
      </c>
      <c r="E23" s="8">
        <v>1</v>
      </c>
      <c r="F23" s="8"/>
      <c r="G23" s="8">
        <v>3</v>
      </c>
      <c r="H23" s="8"/>
      <c r="I23" s="8">
        <v>2</v>
      </c>
      <c r="J23" s="8">
        <f t="shared" si="0"/>
        <v>8</v>
      </c>
      <c r="K23" s="68">
        <f t="shared" si="1"/>
        <v>168</v>
      </c>
    </row>
    <row r="24" spans="1:11" x14ac:dyDescent="0.2">
      <c r="A24" s="8">
        <v>23</v>
      </c>
      <c r="B24" s="18">
        <v>45996</v>
      </c>
      <c r="C24" s="8" t="s">
        <v>326</v>
      </c>
      <c r="D24" s="8" t="s">
        <v>378</v>
      </c>
      <c r="E24" s="8">
        <v>1</v>
      </c>
      <c r="F24" s="8"/>
      <c r="G24" s="8">
        <v>2</v>
      </c>
      <c r="H24" s="8"/>
      <c r="I24" s="8">
        <v>1</v>
      </c>
      <c r="J24" s="8">
        <f t="shared" si="0"/>
        <v>3</v>
      </c>
      <c r="K24" s="68">
        <f t="shared" si="1"/>
        <v>64</v>
      </c>
    </row>
    <row r="25" spans="1:11" x14ac:dyDescent="0.2">
      <c r="A25" s="8">
        <v>24</v>
      </c>
      <c r="B25" s="18"/>
      <c r="C25" s="8" t="s">
        <v>326</v>
      </c>
      <c r="D25" s="8" t="s">
        <v>328</v>
      </c>
      <c r="E25" s="8">
        <v>1</v>
      </c>
      <c r="F25" s="8"/>
      <c r="G25" s="8">
        <v>3</v>
      </c>
      <c r="H25" s="8"/>
      <c r="I25" s="8">
        <v>1</v>
      </c>
      <c r="J25" s="8">
        <f t="shared" si="0"/>
        <v>4</v>
      </c>
      <c r="K25" s="68">
        <f t="shared" si="1"/>
        <v>84</v>
      </c>
    </row>
    <row r="26" spans="1:11" x14ac:dyDescent="0.2">
      <c r="A26" s="8">
        <v>25</v>
      </c>
      <c r="B26" s="18"/>
      <c r="C26" s="8" t="s">
        <v>326</v>
      </c>
      <c r="D26" s="8" t="s">
        <v>136</v>
      </c>
      <c r="E26" s="8">
        <v>1</v>
      </c>
      <c r="F26" s="8"/>
      <c r="G26" s="8">
        <v>3</v>
      </c>
      <c r="H26" s="8"/>
      <c r="I26" s="8">
        <v>2</v>
      </c>
      <c r="J26" s="8">
        <f t="shared" si="0"/>
        <v>8</v>
      </c>
      <c r="K26" s="68">
        <f t="shared" si="1"/>
        <v>168</v>
      </c>
    </row>
    <row r="27" spans="1:11" x14ac:dyDescent="0.2">
      <c r="A27" s="8">
        <v>26</v>
      </c>
      <c r="B27" s="18"/>
      <c r="C27" s="8" t="s">
        <v>326</v>
      </c>
      <c r="D27" s="8" t="s">
        <v>379</v>
      </c>
      <c r="E27" s="8">
        <v>1</v>
      </c>
      <c r="F27" s="8"/>
      <c r="G27" s="8">
        <v>3</v>
      </c>
      <c r="H27" s="8"/>
      <c r="I27" s="8">
        <v>2</v>
      </c>
      <c r="J27" s="8">
        <f t="shared" si="0"/>
        <v>8</v>
      </c>
      <c r="K27" s="68">
        <f t="shared" si="1"/>
        <v>168</v>
      </c>
    </row>
    <row r="28" spans="1:11" x14ac:dyDescent="0.2">
      <c r="A28" s="8">
        <v>27</v>
      </c>
      <c r="B28" s="18"/>
      <c r="C28" s="8" t="s">
        <v>326</v>
      </c>
      <c r="D28" s="8" t="s">
        <v>356</v>
      </c>
      <c r="E28" s="8">
        <v>1</v>
      </c>
      <c r="F28" s="8"/>
      <c r="G28" s="8">
        <v>5</v>
      </c>
      <c r="H28" s="8"/>
      <c r="I28" s="8">
        <v>4</v>
      </c>
      <c r="J28" s="8">
        <f t="shared" si="0"/>
        <v>24</v>
      </c>
      <c r="K28" s="68">
        <f t="shared" si="1"/>
        <v>496</v>
      </c>
    </row>
    <row r="29" spans="1:11" x14ac:dyDescent="0.2">
      <c r="A29" s="8">
        <v>28</v>
      </c>
      <c r="B29" s="18">
        <v>45997</v>
      </c>
      <c r="C29" s="8" t="s">
        <v>326</v>
      </c>
      <c r="D29" s="8" t="s">
        <v>380</v>
      </c>
      <c r="E29" s="8">
        <v>1</v>
      </c>
      <c r="F29" s="8"/>
      <c r="G29" s="8">
        <v>1</v>
      </c>
      <c r="H29" s="8"/>
      <c r="I29" s="8">
        <v>1</v>
      </c>
      <c r="J29" s="8">
        <f t="shared" si="0"/>
        <v>2</v>
      </c>
      <c r="K29" s="68">
        <f t="shared" si="1"/>
        <v>44</v>
      </c>
    </row>
    <row r="30" spans="1:11" x14ac:dyDescent="0.2">
      <c r="A30" s="8">
        <v>29</v>
      </c>
      <c r="B30" s="18"/>
      <c r="C30" s="8" t="s">
        <v>326</v>
      </c>
      <c r="D30" s="8" t="s">
        <v>356</v>
      </c>
      <c r="E30" s="8">
        <v>1</v>
      </c>
      <c r="F30" s="8"/>
      <c r="G30" s="8">
        <v>4</v>
      </c>
      <c r="H30" s="8"/>
      <c r="I30" s="8">
        <v>8</v>
      </c>
      <c r="J30" s="8">
        <f t="shared" si="0"/>
        <v>40</v>
      </c>
      <c r="K30" s="68">
        <f t="shared" si="1"/>
        <v>832</v>
      </c>
    </row>
    <row r="31" spans="1:11" x14ac:dyDescent="0.2">
      <c r="A31" s="8">
        <v>30</v>
      </c>
      <c r="B31" s="18">
        <v>45999</v>
      </c>
      <c r="C31" s="8" t="s">
        <v>326</v>
      </c>
      <c r="D31" s="8" t="s">
        <v>147</v>
      </c>
      <c r="E31" s="8">
        <v>1</v>
      </c>
      <c r="F31" s="8"/>
      <c r="G31" s="8">
        <v>4</v>
      </c>
      <c r="H31" s="8"/>
      <c r="I31" s="8">
        <v>3</v>
      </c>
      <c r="J31" s="8">
        <f t="shared" si="0"/>
        <v>15</v>
      </c>
      <c r="K31" s="68">
        <f t="shared" si="1"/>
        <v>312</v>
      </c>
    </row>
    <row r="32" spans="1:11" x14ac:dyDescent="0.2">
      <c r="A32" s="8">
        <v>31</v>
      </c>
      <c r="B32" s="18"/>
      <c r="C32" s="8" t="s">
        <v>326</v>
      </c>
      <c r="D32" s="8" t="s">
        <v>397</v>
      </c>
      <c r="E32" s="8">
        <v>1</v>
      </c>
      <c r="F32" s="8"/>
      <c r="G32" s="8">
        <v>3</v>
      </c>
      <c r="H32" s="8"/>
      <c r="I32" s="8">
        <v>2</v>
      </c>
      <c r="J32" s="8">
        <f t="shared" si="0"/>
        <v>8</v>
      </c>
      <c r="K32" s="68">
        <f t="shared" si="1"/>
        <v>168</v>
      </c>
    </row>
    <row r="33" spans="1:11" x14ac:dyDescent="0.2">
      <c r="A33" s="8">
        <v>32</v>
      </c>
      <c r="B33" s="18">
        <v>46000</v>
      </c>
      <c r="C33" s="8" t="s">
        <v>326</v>
      </c>
      <c r="D33" s="8" t="s">
        <v>352</v>
      </c>
      <c r="E33" s="8">
        <v>1</v>
      </c>
      <c r="F33" s="8"/>
      <c r="G33" s="8">
        <v>2</v>
      </c>
      <c r="H33" s="8"/>
      <c r="I33" s="8">
        <v>1</v>
      </c>
      <c r="J33" s="8">
        <f t="shared" si="0"/>
        <v>3</v>
      </c>
      <c r="K33" s="68">
        <f t="shared" si="1"/>
        <v>64</v>
      </c>
    </row>
    <row r="34" spans="1:11" x14ac:dyDescent="0.2">
      <c r="A34" s="8">
        <v>33</v>
      </c>
      <c r="B34" s="18">
        <v>46001</v>
      </c>
      <c r="C34" s="8" t="s">
        <v>326</v>
      </c>
      <c r="D34" s="8" t="s">
        <v>352</v>
      </c>
      <c r="E34" s="8">
        <v>1</v>
      </c>
      <c r="F34" s="8"/>
      <c r="G34" s="8">
        <v>2</v>
      </c>
      <c r="H34" s="8"/>
      <c r="I34" s="8">
        <v>1</v>
      </c>
      <c r="J34" s="8">
        <f t="shared" si="0"/>
        <v>3</v>
      </c>
      <c r="K34" s="68">
        <f t="shared" si="1"/>
        <v>64</v>
      </c>
    </row>
    <row r="35" spans="1:11" x14ac:dyDescent="0.2">
      <c r="A35" s="8">
        <v>34</v>
      </c>
      <c r="B35" s="18"/>
      <c r="C35" s="8" t="s">
        <v>326</v>
      </c>
      <c r="D35" s="8" t="s">
        <v>406</v>
      </c>
      <c r="E35" s="8">
        <v>1</v>
      </c>
      <c r="F35" s="8"/>
      <c r="G35" s="8">
        <v>2</v>
      </c>
      <c r="H35" s="8"/>
      <c r="I35" s="8">
        <v>1</v>
      </c>
      <c r="J35" s="8">
        <f t="shared" si="0"/>
        <v>3</v>
      </c>
      <c r="K35" s="68">
        <f t="shared" si="1"/>
        <v>64</v>
      </c>
    </row>
    <row r="36" spans="1:11" x14ac:dyDescent="0.2">
      <c r="A36" s="8">
        <v>35</v>
      </c>
      <c r="B36" s="18"/>
      <c r="C36" s="8" t="s">
        <v>326</v>
      </c>
      <c r="D36" s="8" t="s">
        <v>174</v>
      </c>
      <c r="E36" s="8">
        <v>1</v>
      </c>
      <c r="F36" s="8"/>
      <c r="G36" s="8">
        <v>2</v>
      </c>
      <c r="H36" s="8"/>
      <c r="I36" s="8">
        <v>2</v>
      </c>
      <c r="J36" s="8">
        <f t="shared" si="0"/>
        <v>6</v>
      </c>
      <c r="K36" s="68">
        <f t="shared" si="1"/>
        <v>128</v>
      </c>
    </row>
    <row r="37" spans="1:11" x14ac:dyDescent="0.2">
      <c r="A37" s="8">
        <v>36</v>
      </c>
      <c r="B37" s="18"/>
      <c r="C37" s="8" t="s">
        <v>326</v>
      </c>
      <c r="D37" s="8" t="s">
        <v>407</v>
      </c>
      <c r="E37" s="8">
        <v>1</v>
      </c>
      <c r="F37" s="8"/>
      <c r="G37" s="8">
        <v>2</v>
      </c>
      <c r="H37" s="8"/>
      <c r="I37" s="8">
        <v>1</v>
      </c>
      <c r="J37" s="8">
        <f t="shared" si="0"/>
        <v>3</v>
      </c>
      <c r="K37" s="68">
        <f t="shared" si="1"/>
        <v>64</v>
      </c>
    </row>
    <row r="38" spans="1:11" x14ac:dyDescent="0.2">
      <c r="A38" s="8">
        <v>37</v>
      </c>
      <c r="B38" s="18"/>
      <c r="C38" s="8" t="s">
        <v>326</v>
      </c>
      <c r="D38" s="8" t="s">
        <v>248</v>
      </c>
      <c r="E38" s="8">
        <v>1</v>
      </c>
      <c r="F38" s="8"/>
      <c r="G38" s="8">
        <v>1</v>
      </c>
      <c r="H38" s="8"/>
      <c r="I38" s="8">
        <v>1</v>
      </c>
      <c r="J38" s="8">
        <f t="shared" si="0"/>
        <v>2</v>
      </c>
      <c r="K38" s="68">
        <f t="shared" si="1"/>
        <v>44</v>
      </c>
    </row>
    <row r="39" spans="1:11" x14ac:dyDescent="0.2">
      <c r="A39" s="8">
        <v>38</v>
      </c>
      <c r="B39" s="18">
        <v>46002</v>
      </c>
      <c r="C39" s="8" t="s">
        <v>326</v>
      </c>
      <c r="D39" s="8" t="s">
        <v>165</v>
      </c>
      <c r="E39" s="8">
        <v>1</v>
      </c>
      <c r="F39" s="8"/>
      <c r="G39" s="8">
        <v>3</v>
      </c>
      <c r="H39" s="8"/>
      <c r="I39" s="8">
        <v>3</v>
      </c>
      <c r="J39" s="8">
        <f t="shared" si="0"/>
        <v>12</v>
      </c>
      <c r="K39" s="68">
        <f t="shared" si="1"/>
        <v>252</v>
      </c>
    </row>
    <row r="40" spans="1:11" x14ac:dyDescent="0.2">
      <c r="A40" s="8">
        <v>39</v>
      </c>
      <c r="B40" s="18"/>
      <c r="C40" s="8" t="s">
        <v>326</v>
      </c>
      <c r="D40" s="8" t="s">
        <v>378</v>
      </c>
      <c r="E40" s="8">
        <v>1</v>
      </c>
      <c r="F40" s="8"/>
      <c r="G40" s="8">
        <v>1</v>
      </c>
      <c r="H40" s="8"/>
      <c r="I40" s="8">
        <v>1</v>
      </c>
      <c r="J40" s="8">
        <f t="shared" si="0"/>
        <v>2</v>
      </c>
      <c r="K40" s="68">
        <f t="shared" si="1"/>
        <v>44</v>
      </c>
    </row>
    <row r="41" spans="1:11" x14ac:dyDescent="0.2">
      <c r="A41" s="8">
        <v>40</v>
      </c>
      <c r="B41" s="18"/>
      <c r="C41" s="8" t="s">
        <v>326</v>
      </c>
      <c r="D41" s="8" t="s">
        <v>162</v>
      </c>
      <c r="E41" s="8">
        <v>1</v>
      </c>
      <c r="F41" s="8"/>
      <c r="G41" s="8">
        <v>2</v>
      </c>
      <c r="H41" s="8"/>
      <c r="I41" s="8">
        <v>1</v>
      </c>
      <c r="J41" s="8">
        <f t="shared" si="0"/>
        <v>3</v>
      </c>
      <c r="K41" s="68">
        <f t="shared" si="1"/>
        <v>64</v>
      </c>
    </row>
    <row r="42" spans="1:11" x14ac:dyDescent="0.2">
      <c r="A42" s="8">
        <v>41</v>
      </c>
      <c r="B42" s="18"/>
      <c r="C42" s="8" t="s">
        <v>326</v>
      </c>
      <c r="D42" s="8" t="s">
        <v>408</v>
      </c>
      <c r="E42" s="8">
        <v>1</v>
      </c>
      <c r="F42" s="8"/>
      <c r="G42" s="8">
        <v>2</v>
      </c>
      <c r="H42" s="8"/>
      <c r="I42" s="8">
        <v>2</v>
      </c>
      <c r="J42" s="8">
        <f t="shared" si="0"/>
        <v>6</v>
      </c>
      <c r="K42" s="68">
        <f t="shared" si="1"/>
        <v>128</v>
      </c>
    </row>
    <row r="43" spans="1:11" x14ac:dyDescent="0.2">
      <c r="A43" s="8">
        <v>42</v>
      </c>
      <c r="B43" s="18"/>
      <c r="C43" s="8" t="s">
        <v>326</v>
      </c>
      <c r="D43" s="8" t="s">
        <v>352</v>
      </c>
      <c r="E43" s="8">
        <v>1</v>
      </c>
      <c r="F43" s="8"/>
      <c r="G43" s="8">
        <v>2</v>
      </c>
      <c r="H43" s="8"/>
      <c r="I43" s="8">
        <v>1</v>
      </c>
      <c r="J43" s="8">
        <f t="shared" si="0"/>
        <v>3</v>
      </c>
      <c r="K43" s="68">
        <f t="shared" si="1"/>
        <v>64</v>
      </c>
    </row>
    <row r="44" spans="1:11" x14ac:dyDescent="0.2">
      <c r="A44" s="8">
        <v>43</v>
      </c>
      <c r="B44" s="18">
        <v>46006</v>
      </c>
      <c r="C44" s="8" t="s">
        <v>326</v>
      </c>
      <c r="D44" s="8" t="s">
        <v>371</v>
      </c>
      <c r="E44" s="8">
        <v>1</v>
      </c>
      <c r="F44" s="8"/>
      <c r="G44" s="8">
        <v>3</v>
      </c>
      <c r="H44" s="8"/>
      <c r="I44" s="8">
        <v>4</v>
      </c>
      <c r="J44" s="8">
        <f t="shared" si="0"/>
        <v>16</v>
      </c>
      <c r="K44" s="68">
        <f t="shared" si="1"/>
        <v>336</v>
      </c>
    </row>
    <row r="45" spans="1:11" x14ac:dyDescent="0.2">
      <c r="A45" s="8">
        <v>44</v>
      </c>
      <c r="B45" s="18"/>
      <c r="C45" s="8" t="s">
        <v>326</v>
      </c>
      <c r="D45" s="8" t="s">
        <v>356</v>
      </c>
      <c r="E45" s="8">
        <v>1</v>
      </c>
      <c r="F45" s="8"/>
      <c r="G45" s="8">
        <v>3</v>
      </c>
      <c r="H45" s="8"/>
      <c r="I45" s="8">
        <v>4</v>
      </c>
      <c r="J45" s="8">
        <f t="shared" si="0"/>
        <v>16</v>
      </c>
      <c r="K45" s="68">
        <f t="shared" si="1"/>
        <v>336</v>
      </c>
    </row>
    <row r="46" spans="1:11" x14ac:dyDescent="0.2">
      <c r="A46" s="8">
        <v>45</v>
      </c>
      <c r="B46" s="18"/>
      <c r="C46" s="8" t="s">
        <v>326</v>
      </c>
      <c r="D46" s="8" t="s">
        <v>353</v>
      </c>
      <c r="E46" s="8">
        <v>1</v>
      </c>
      <c r="F46" s="8"/>
      <c r="G46" s="8">
        <v>3</v>
      </c>
      <c r="H46" s="8"/>
      <c r="I46" s="8">
        <v>2</v>
      </c>
      <c r="J46" s="8">
        <f t="shared" si="0"/>
        <v>8</v>
      </c>
      <c r="K46" s="68">
        <f t="shared" si="1"/>
        <v>168</v>
      </c>
    </row>
    <row r="47" spans="1:11" x14ac:dyDescent="0.2">
      <c r="A47" s="8">
        <v>46</v>
      </c>
      <c r="B47" s="18"/>
      <c r="C47" s="8" t="s">
        <v>326</v>
      </c>
      <c r="D47" s="8" t="s">
        <v>308</v>
      </c>
      <c r="E47" s="8">
        <v>1</v>
      </c>
      <c r="F47" s="8"/>
      <c r="G47" s="8">
        <v>3</v>
      </c>
      <c r="H47" s="8"/>
      <c r="I47" s="8">
        <v>2</v>
      </c>
      <c r="J47" s="8">
        <f t="shared" si="0"/>
        <v>8</v>
      </c>
      <c r="K47" s="68">
        <f t="shared" si="1"/>
        <v>168</v>
      </c>
    </row>
    <row r="48" spans="1:11" x14ac:dyDescent="0.2">
      <c r="A48" s="8">
        <v>47</v>
      </c>
      <c r="B48" s="18"/>
      <c r="C48" s="8" t="s">
        <v>326</v>
      </c>
      <c r="D48" s="8" t="s">
        <v>165</v>
      </c>
      <c r="E48" s="8">
        <v>1</v>
      </c>
      <c r="F48" s="8"/>
      <c r="G48" s="8">
        <v>2</v>
      </c>
      <c r="H48" s="8"/>
      <c r="I48" s="8">
        <v>1</v>
      </c>
      <c r="J48" s="8">
        <f t="shared" si="0"/>
        <v>3</v>
      </c>
      <c r="K48" s="68">
        <f t="shared" si="1"/>
        <v>64</v>
      </c>
    </row>
    <row r="49" spans="1:11" x14ac:dyDescent="0.2">
      <c r="A49" s="8">
        <v>48</v>
      </c>
      <c r="B49" s="18">
        <v>46007</v>
      </c>
      <c r="C49" s="8" t="s">
        <v>326</v>
      </c>
      <c r="D49" s="8" t="s">
        <v>426</v>
      </c>
      <c r="E49" s="8">
        <v>1</v>
      </c>
      <c r="F49" s="8"/>
      <c r="G49" s="8">
        <v>2</v>
      </c>
      <c r="H49" s="8"/>
      <c r="I49" s="8">
        <v>1</v>
      </c>
      <c r="J49" s="8">
        <f t="shared" si="0"/>
        <v>3</v>
      </c>
      <c r="K49" s="68">
        <f t="shared" si="1"/>
        <v>64</v>
      </c>
    </row>
    <row r="50" spans="1:11" x14ac:dyDescent="0.2">
      <c r="A50" s="8">
        <v>49</v>
      </c>
      <c r="B50" s="18"/>
      <c r="C50" s="8" t="s">
        <v>326</v>
      </c>
      <c r="D50" s="8" t="s">
        <v>328</v>
      </c>
      <c r="E50" s="8">
        <v>1</v>
      </c>
      <c r="F50" s="8"/>
      <c r="G50" s="8">
        <v>2</v>
      </c>
      <c r="H50" s="8"/>
      <c r="I50" s="8">
        <v>1</v>
      </c>
      <c r="J50" s="8">
        <f t="shared" si="0"/>
        <v>3</v>
      </c>
      <c r="K50" s="68">
        <f t="shared" si="1"/>
        <v>64</v>
      </c>
    </row>
    <row r="51" spans="1:11" x14ac:dyDescent="0.2">
      <c r="A51" s="8">
        <v>50</v>
      </c>
      <c r="B51" s="18"/>
      <c r="C51" s="8" t="s">
        <v>326</v>
      </c>
      <c r="D51" s="8" t="s">
        <v>427</v>
      </c>
      <c r="E51" s="8">
        <v>1</v>
      </c>
      <c r="F51" s="8"/>
      <c r="G51" s="8">
        <v>2</v>
      </c>
      <c r="H51" s="8"/>
      <c r="I51" s="8">
        <v>2</v>
      </c>
      <c r="J51" s="8">
        <f t="shared" si="0"/>
        <v>6</v>
      </c>
      <c r="K51" s="68">
        <f t="shared" si="1"/>
        <v>128</v>
      </c>
    </row>
    <row r="52" spans="1:11" x14ac:dyDescent="0.2">
      <c r="A52" s="8">
        <v>51</v>
      </c>
      <c r="B52" s="18"/>
      <c r="C52" s="8" t="s">
        <v>326</v>
      </c>
      <c r="D52" s="8" t="s">
        <v>355</v>
      </c>
      <c r="E52" s="8">
        <v>1</v>
      </c>
      <c r="F52" s="8"/>
      <c r="G52" s="8">
        <v>3</v>
      </c>
      <c r="H52" s="8"/>
      <c r="I52" s="8">
        <v>2</v>
      </c>
      <c r="J52" s="8">
        <f t="shared" si="0"/>
        <v>8</v>
      </c>
      <c r="K52" s="68">
        <f t="shared" si="1"/>
        <v>168</v>
      </c>
    </row>
    <row r="53" spans="1:11" x14ac:dyDescent="0.2">
      <c r="A53" s="8">
        <v>52</v>
      </c>
      <c r="B53" s="18"/>
      <c r="C53" s="8" t="s">
        <v>326</v>
      </c>
      <c r="D53" s="8" t="s">
        <v>356</v>
      </c>
      <c r="E53" s="8">
        <v>1</v>
      </c>
      <c r="F53" s="8"/>
      <c r="G53" s="8">
        <v>2</v>
      </c>
      <c r="H53" s="8"/>
      <c r="I53" s="8">
        <v>2</v>
      </c>
      <c r="J53" s="8">
        <f t="shared" si="0"/>
        <v>6</v>
      </c>
      <c r="K53" s="68">
        <f t="shared" si="1"/>
        <v>128</v>
      </c>
    </row>
    <row r="54" spans="1:11" x14ac:dyDescent="0.2">
      <c r="A54" s="8">
        <v>53</v>
      </c>
      <c r="B54" s="18">
        <v>46008</v>
      </c>
      <c r="C54" s="8" t="s">
        <v>326</v>
      </c>
      <c r="D54" s="8" t="s">
        <v>371</v>
      </c>
      <c r="E54" s="8">
        <v>1</v>
      </c>
      <c r="F54" s="8"/>
      <c r="G54" s="8">
        <v>3</v>
      </c>
      <c r="H54" s="8"/>
      <c r="I54" s="8">
        <v>1</v>
      </c>
      <c r="J54" s="8">
        <f t="shared" si="0"/>
        <v>4</v>
      </c>
      <c r="K54" s="68">
        <f t="shared" si="1"/>
        <v>84</v>
      </c>
    </row>
    <row r="55" spans="1:11" x14ac:dyDescent="0.2">
      <c r="A55" s="8">
        <v>54</v>
      </c>
      <c r="B55" s="18"/>
      <c r="C55" s="8" t="s">
        <v>326</v>
      </c>
      <c r="D55" s="8" t="s">
        <v>379</v>
      </c>
      <c r="E55" s="8">
        <v>1</v>
      </c>
      <c r="F55" s="8"/>
      <c r="G55" s="8">
        <v>3</v>
      </c>
      <c r="H55" s="8"/>
      <c r="I55" s="8">
        <v>2</v>
      </c>
      <c r="J55" s="8">
        <f t="shared" si="0"/>
        <v>8</v>
      </c>
      <c r="K55" s="68">
        <f t="shared" si="1"/>
        <v>168</v>
      </c>
    </row>
    <row r="56" spans="1:11" x14ac:dyDescent="0.2">
      <c r="A56" s="8">
        <v>55</v>
      </c>
      <c r="B56" s="18"/>
      <c r="C56" s="8" t="s">
        <v>326</v>
      </c>
      <c r="D56" s="8" t="s">
        <v>426</v>
      </c>
      <c r="E56" s="8">
        <v>1</v>
      </c>
      <c r="F56" s="8"/>
      <c r="G56" s="8">
        <v>2</v>
      </c>
      <c r="H56" s="8"/>
      <c r="I56" s="8">
        <v>1</v>
      </c>
      <c r="J56" s="8">
        <f t="shared" si="0"/>
        <v>3</v>
      </c>
      <c r="K56" s="68">
        <f t="shared" si="1"/>
        <v>64</v>
      </c>
    </row>
    <row r="57" spans="1:11" x14ac:dyDescent="0.2">
      <c r="A57" s="8">
        <v>56</v>
      </c>
      <c r="B57" s="18">
        <v>46009</v>
      </c>
      <c r="C57" s="8" t="s">
        <v>326</v>
      </c>
      <c r="D57" s="8" t="s">
        <v>147</v>
      </c>
      <c r="E57" s="8">
        <v>1</v>
      </c>
      <c r="F57" s="8"/>
      <c r="G57" s="8">
        <v>2</v>
      </c>
      <c r="H57" s="8"/>
      <c r="I57" s="8">
        <v>3</v>
      </c>
      <c r="J57" s="8">
        <f t="shared" si="0"/>
        <v>9</v>
      </c>
      <c r="K57" s="68">
        <f t="shared" si="1"/>
        <v>192</v>
      </c>
    </row>
    <row r="58" spans="1:11" x14ac:dyDescent="0.2">
      <c r="A58" s="8">
        <v>57</v>
      </c>
      <c r="B58" s="18">
        <v>46010</v>
      </c>
      <c r="C58" s="8" t="s">
        <v>326</v>
      </c>
      <c r="D58" s="8" t="s">
        <v>452</v>
      </c>
      <c r="E58" s="8">
        <v>1</v>
      </c>
      <c r="F58" s="8"/>
      <c r="G58" s="8">
        <v>2</v>
      </c>
      <c r="H58" s="8"/>
      <c r="I58" s="8">
        <v>1</v>
      </c>
      <c r="J58" s="8">
        <f t="shared" si="0"/>
        <v>3</v>
      </c>
      <c r="K58" s="68">
        <f t="shared" si="1"/>
        <v>64</v>
      </c>
    </row>
    <row r="59" spans="1:11" x14ac:dyDescent="0.2">
      <c r="A59" s="8">
        <v>58</v>
      </c>
      <c r="B59" s="18"/>
      <c r="C59" s="8" t="s">
        <v>326</v>
      </c>
      <c r="D59" s="8" t="s">
        <v>355</v>
      </c>
      <c r="E59" s="8">
        <v>1</v>
      </c>
      <c r="F59" s="8"/>
      <c r="G59" s="8">
        <v>2</v>
      </c>
      <c r="H59" s="8"/>
      <c r="I59" s="8">
        <v>1</v>
      </c>
      <c r="J59" s="8">
        <f t="shared" si="0"/>
        <v>3</v>
      </c>
      <c r="K59" s="68">
        <f t="shared" si="1"/>
        <v>64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B308"/>
  <sheetViews>
    <sheetView zoomScale="55" zoomScaleNormal="55" workbookViewId="0">
      <selection activeCell="P1" sqref="P1"/>
    </sheetView>
  </sheetViews>
  <sheetFormatPr baseColWidth="10" defaultColWidth="8.83203125" defaultRowHeight="16" x14ac:dyDescent="0.2"/>
  <cols>
    <col min="1" max="1" width="12.6640625" style="61" bestFit="1" customWidth="1"/>
    <col min="2" max="2" width="19.5" style="39" customWidth="1"/>
    <col min="3" max="4" width="17.1640625" style="61" customWidth="1"/>
    <col min="5" max="5" width="22.5" style="39" customWidth="1"/>
    <col min="6" max="6" width="39.6640625" style="39" bestFit="1" customWidth="1"/>
    <col min="7" max="7" width="55.6640625" style="39" bestFit="1" customWidth="1"/>
    <col min="8" max="8" width="13.6640625" style="61" customWidth="1"/>
    <col min="9" max="9" width="19.5" style="61" customWidth="1"/>
    <col min="10" max="10" width="15.5" style="65" customWidth="1"/>
    <col min="11" max="11" width="14.33203125" style="66" customWidth="1"/>
    <col min="12" max="12" width="16" style="67" customWidth="1"/>
    <col min="13" max="13" width="16.83203125" style="39" customWidth="1"/>
    <col min="14" max="14" width="14.6640625" style="39" customWidth="1"/>
    <col min="15" max="15" width="25.33203125" style="39" customWidth="1"/>
    <col min="16" max="16" width="22.1640625" style="39" customWidth="1"/>
    <col min="17" max="17" width="8.83203125" style="39"/>
    <col min="18" max="18" width="9.33203125" style="39" customWidth="1"/>
    <col min="19" max="19" width="32.33203125" style="39" customWidth="1"/>
    <col min="20" max="20" width="9.5" style="39" customWidth="1"/>
    <col min="21" max="399" width="8.83203125" style="39"/>
    <col min="400" max="400" width="11" style="39" bestFit="1" customWidth="1"/>
    <col min="401" max="405" width="8.83203125" style="39"/>
    <col min="406" max="413" width="9.1640625" style="39" bestFit="1" customWidth="1"/>
    <col min="414" max="415" width="8.83203125" style="39"/>
    <col min="416" max="416" width="11" style="39" bestFit="1" customWidth="1"/>
    <col min="417" max="421" width="8.83203125" style="39"/>
    <col min="422" max="429" width="9.1640625" style="39" bestFit="1" customWidth="1"/>
    <col min="430" max="431" width="8.83203125" style="39"/>
    <col min="432" max="432" width="11" style="39" bestFit="1" customWidth="1"/>
    <col min="433" max="437" width="8.83203125" style="39"/>
    <col min="438" max="445" width="9.1640625" style="39" bestFit="1" customWidth="1"/>
    <col min="446" max="447" width="8.83203125" style="39"/>
    <col min="448" max="448" width="11" style="39" bestFit="1" customWidth="1"/>
    <col min="449" max="453" width="8.83203125" style="39"/>
    <col min="454" max="461" width="9.1640625" style="39" bestFit="1" customWidth="1"/>
    <col min="462" max="463" width="8.83203125" style="39"/>
    <col min="464" max="464" width="11" style="39" bestFit="1" customWidth="1"/>
    <col min="465" max="469" width="8.83203125" style="39"/>
    <col min="470" max="477" width="9.1640625" style="39" bestFit="1" customWidth="1"/>
    <col min="478" max="479" width="8.83203125" style="39"/>
    <col min="480" max="480" width="11" style="39" bestFit="1" customWidth="1"/>
    <col min="481" max="485" width="8.83203125" style="39"/>
    <col min="486" max="493" width="9.1640625" style="39" bestFit="1" customWidth="1"/>
    <col min="494" max="495" width="8.83203125" style="39"/>
    <col min="496" max="496" width="11" style="39" bestFit="1" customWidth="1"/>
    <col min="497" max="501" width="8.83203125" style="39"/>
    <col min="502" max="509" width="9.1640625" style="39" bestFit="1" customWidth="1"/>
    <col min="510" max="511" width="8.83203125" style="39"/>
    <col min="512" max="512" width="11" style="39" bestFit="1" customWidth="1"/>
    <col min="513" max="517" width="8.83203125" style="39"/>
    <col min="518" max="525" width="9.1640625" style="39" bestFit="1" customWidth="1"/>
    <col min="526" max="527" width="8.83203125" style="39"/>
    <col min="528" max="528" width="11" style="39" bestFit="1" customWidth="1"/>
    <col min="529" max="533" width="8.83203125" style="39"/>
    <col min="534" max="541" width="9.1640625" style="39" bestFit="1" customWidth="1"/>
    <col min="542" max="543" width="8.83203125" style="39"/>
    <col min="544" max="544" width="11" style="39" bestFit="1" customWidth="1"/>
    <col min="545" max="549" width="8.83203125" style="39"/>
    <col min="550" max="557" width="9.1640625" style="39" bestFit="1" customWidth="1"/>
    <col min="558" max="559" width="8.83203125" style="39"/>
    <col min="560" max="560" width="11" style="39" bestFit="1" customWidth="1"/>
    <col min="561" max="565" width="8.83203125" style="39"/>
    <col min="566" max="573" width="9.1640625" style="39" bestFit="1" customWidth="1"/>
    <col min="574" max="575" width="8.83203125" style="39"/>
    <col min="576" max="576" width="11" style="39" bestFit="1" customWidth="1"/>
    <col min="577" max="581" width="8.83203125" style="39"/>
    <col min="582" max="589" width="9.1640625" style="39" bestFit="1" customWidth="1"/>
    <col min="590" max="591" width="8.83203125" style="39"/>
    <col min="592" max="592" width="11" style="39" bestFit="1" customWidth="1"/>
    <col min="593" max="597" width="8.83203125" style="39"/>
    <col min="598" max="605" width="9.1640625" style="39" bestFit="1" customWidth="1"/>
    <col min="606" max="607" width="8.83203125" style="39"/>
    <col min="608" max="608" width="11" style="39" bestFit="1" customWidth="1"/>
    <col min="609" max="613" width="8.83203125" style="39"/>
    <col min="614" max="621" width="9.1640625" style="39" bestFit="1" customWidth="1"/>
    <col min="622" max="623" width="8.83203125" style="39"/>
    <col min="624" max="624" width="11" style="39" bestFit="1" customWidth="1"/>
    <col min="625" max="629" width="8.83203125" style="39"/>
    <col min="630" max="637" width="9.1640625" style="39" bestFit="1" customWidth="1"/>
    <col min="638" max="639" width="8.83203125" style="39"/>
    <col min="640" max="640" width="11" style="39" bestFit="1" customWidth="1"/>
    <col min="641" max="645" width="8.83203125" style="39"/>
    <col min="646" max="653" width="9.1640625" style="39" bestFit="1" customWidth="1"/>
    <col min="654" max="655" width="8.83203125" style="39"/>
    <col min="656" max="656" width="11" style="39" bestFit="1" customWidth="1"/>
    <col min="657" max="661" width="8.83203125" style="39"/>
    <col min="662" max="669" width="9.1640625" style="39" bestFit="1" customWidth="1"/>
    <col min="670" max="671" width="8.83203125" style="39"/>
    <col min="672" max="672" width="11" style="39" bestFit="1" customWidth="1"/>
    <col min="673" max="677" width="8.83203125" style="39"/>
    <col min="678" max="685" width="9.1640625" style="39" bestFit="1" customWidth="1"/>
    <col min="686" max="687" width="8.83203125" style="39"/>
    <col min="688" max="688" width="11" style="39" bestFit="1" customWidth="1"/>
    <col min="689" max="693" width="8.83203125" style="39"/>
    <col min="694" max="701" width="9.1640625" style="39" bestFit="1" customWidth="1"/>
    <col min="702" max="703" width="8.83203125" style="39"/>
    <col min="704" max="704" width="11" style="39" bestFit="1" customWidth="1"/>
    <col min="705" max="709" width="8.83203125" style="39"/>
    <col min="710" max="717" width="9.1640625" style="39" bestFit="1" customWidth="1"/>
    <col min="718" max="719" width="8.83203125" style="39"/>
    <col min="720" max="720" width="11" style="39" bestFit="1" customWidth="1"/>
    <col min="721" max="725" width="8.83203125" style="39"/>
    <col min="726" max="733" width="9.1640625" style="39" bestFit="1" customWidth="1"/>
    <col min="734" max="735" width="8.83203125" style="39"/>
    <col min="736" max="736" width="11" style="39" bestFit="1" customWidth="1"/>
    <col min="737" max="741" width="8.83203125" style="39"/>
    <col min="742" max="749" width="9.1640625" style="39" bestFit="1" customWidth="1"/>
    <col min="750" max="751" width="8.83203125" style="39"/>
    <col min="752" max="752" width="11" style="39" bestFit="1" customWidth="1"/>
    <col min="753" max="757" width="8.83203125" style="39"/>
    <col min="758" max="765" width="9.1640625" style="39" bestFit="1" customWidth="1"/>
    <col min="766" max="767" width="8.83203125" style="39"/>
    <col min="768" max="768" width="11" style="39" bestFit="1" customWidth="1"/>
    <col min="769" max="773" width="8.83203125" style="39"/>
    <col min="774" max="781" width="9.1640625" style="39" bestFit="1" customWidth="1"/>
    <col min="782" max="783" width="8.83203125" style="39"/>
    <col min="784" max="784" width="11" style="39" bestFit="1" customWidth="1"/>
    <col min="785" max="789" width="8.83203125" style="39"/>
    <col min="790" max="797" width="9.1640625" style="39" bestFit="1" customWidth="1"/>
    <col min="798" max="799" width="8.83203125" style="39"/>
    <col min="800" max="800" width="11" style="39" bestFit="1" customWidth="1"/>
    <col min="801" max="805" width="8.83203125" style="39"/>
    <col min="806" max="813" width="9.1640625" style="39" bestFit="1" customWidth="1"/>
    <col min="814" max="815" width="8.83203125" style="39"/>
    <col min="816" max="816" width="11" style="39" bestFit="1" customWidth="1"/>
    <col min="817" max="821" width="8.83203125" style="39"/>
    <col min="822" max="829" width="9.1640625" style="39" bestFit="1" customWidth="1"/>
    <col min="830" max="831" width="8.83203125" style="39"/>
    <col min="832" max="832" width="11" style="39" bestFit="1" customWidth="1"/>
    <col min="833" max="837" width="8.83203125" style="39"/>
    <col min="838" max="845" width="9.1640625" style="39" bestFit="1" customWidth="1"/>
    <col min="846" max="847" width="8.83203125" style="39"/>
    <col min="848" max="848" width="11" style="39" bestFit="1" customWidth="1"/>
    <col min="849" max="853" width="8.83203125" style="39"/>
    <col min="854" max="861" width="9.1640625" style="39" bestFit="1" customWidth="1"/>
    <col min="862" max="863" width="8.83203125" style="39"/>
    <col min="864" max="864" width="11" style="39" bestFit="1" customWidth="1"/>
    <col min="865" max="869" width="8.83203125" style="39"/>
    <col min="870" max="877" width="9.1640625" style="39" bestFit="1" customWidth="1"/>
    <col min="878" max="879" width="8.83203125" style="39"/>
    <col min="880" max="880" width="11" style="39" bestFit="1" customWidth="1"/>
    <col min="881" max="885" width="8.83203125" style="39"/>
    <col min="886" max="893" width="9.1640625" style="39" bestFit="1" customWidth="1"/>
    <col min="894" max="895" width="8.83203125" style="39"/>
    <col min="896" max="896" width="11" style="39" bestFit="1" customWidth="1"/>
    <col min="897" max="901" width="8.83203125" style="39"/>
    <col min="902" max="909" width="9.1640625" style="39" bestFit="1" customWidth="1"/>
    <col min="910" max="911" width="8.83203125" style="39"/>
    <col min="912" max="912" width="11" style="39" bestFit="1" customWidth="1"/>
    <col min="913" max="917" width="8.83203125" style="39"/>
    <col min="918" max="925" width="9.1640625" style="39" bestFit="1" customWidth="1"/>
    <col min="926" max="927" width="8.83203125" style="39"/>
    <col min="928" max="928" width="11" style="39" bestFit="1" customWidth="1"/>
    <col min="929" max="933" width="8.83203125" style="39"/>
    <col min="934" max="941" width="9.1640625" style="39" bestFit="1" customWidth="1"/>
    <col min="942" max="943" width="8.83203125" style="39"/>
    <col min="944" max="944" width="11" style="39" bestFit="1" customWidth="1"/>
    <col min="945" max="949" width="8.83203125" style="39"/>
    <col min="950" max="957" width="9.1640625" style="39" bestFit="1" customWidth="1"/>
    <col min="958" max="959" width="8.83203125" style="39"/>
    <col min="960" max="960" width="11" style="39" bestFit="1" customWidth="1"/>
    <col min="961" max="965" width="8.83203125" style="39"/>
    <col min="966" max="973" width="9.1640625" style="39" bestFit="1" customWidth="1"/>
    <col min="974" max="975" width="8.83203125" style="39"/>
    <col min="976" max="976" width="11" style="39" bestFit="1" customWidth="1"/>
    <col min="977" max="981" width="8.83203125" style="39"/>
    <col min="982" max="989" width="9.1640625" style="39" bestFit="1" customWidth="1"/>
    <col min="990" max="991" width="8.83203125" style="39"/>
    <col min="992" max="992" width="11" style="39" bestFit="1" customWidth="1"/>
    <col min="993" max="997" width="8.83203125" style="39"/>
    <col min="998" max="1005" width="9.1640625" style="39" bestFit="1" customWidth="1"/>
    <col min="1006" max="1007" width="8.83203125" style="39"/>
    <col min="1008" max="1008" width="11" style="39" bestFit="1" customWidth="1"/>
    <col min="1009" max="1013" width="8.83203125" style="39"/>
    <col min="1014" max="1021" width="9.1640625" style="39" bestFit="1" customWidth="1"/>
    <col min="1022" max="1023" width="8.83203125" style="39"/>
    <col min="1024" max="1024" width="11" style="39" bestFit="1" customWidth="1"/>
    <col min="1025" max="1029" width="8.83203125" style="39"/>
    <col min="1030" max="1037" width="9.1640625" style="39" bestFit="1" customWidth="1"/>
    <col min="1038" max="1039" width="8.83203125" style="39"/>
    <col min="1040" max="1040" width="11" style="39" bestFit="1" customWidth="1"/>
    <col min="1041" max="1045" width="8.83203125" style="39"/>
    <col min="1046" max="1053" width="9.1640625" style="39" bestFit="1" customWidth="1"/>
    <col min="1054" max="1055" width="8.83203125" style="39"/>
    <col min="1056" max="1056" width="11" style="39" bestFit="1" customWidth="1"/>
    <col min="1057" max="1061" width="8.83203125" style="39"/>
    <col min="1062" max="1069" width="9.1640625" style="39" bestFit="1" customWidth="1"/>
    <col min="1070" max="1071" width="8.83203125" style="39"/>
    <col min="1072" max="1072" width="11" style="39" bestFit="1" customWidth="1"/>
    <col min="1073" max="1077" width="8.83203125" style="39"/>
    <col min="1078" max="1085" width="9.1640625" style="39" bestFit="1" customWidth="1"/>
    <col min="1086" max="1087" width="8.83203125" style="39"/>
    <col min="1088" max="1088" width="11" style="39" bestFit="1" customWidth="1"/>
    <col min="1089" max="1093" width="8.83203125" style="39"/>
    <col min="1094" max="1101" width="9.1640625" style="39" bestFit="1" customWidth="1"/>
    <col min="1102" max="1103" width="8.83203125" style="39"/>
    <col min="1104" max="1104" width="11" style="39" bestFit="1" customWidth="1"/>
    <col min="1105" max="1109" width="8.83203125" style="39"/>
    <col min="1110" max="1117" width="9.1640625" style="39" bestFit="1" customWidth="1"/>
    <col min="1118" max="1119" width="8.83203125" style="39"/>
    <col min="1120" max="1120" width="11" style="39" bestFit="1" customWidth="1"/>
    <col min="1121" max="1125" width="8.83203125" style="39"/>
    <col min="1126" max="1133" width="9.1640625" style="39" bestFit="1" customWidth="1"/>
    <col min="1134" max="1135" width="8.83203125" style="39"/>
    <col min="1136" max="1136" width="11" style="39" bestFit="1" customWidth="1"/>
    <col min="1137" max="1141" width="8.83203125" style="39"/>
    <col min="1142" max="1149" width="9.1640625" style="39" bestFit="1" customWidth="1"/>
    <col min="1150" max="1151" width="8.83203125" style="39"/>
    <col min="1152" max="1152" width="11" style="39" bestFit="1" customWidth="1"/>
    <col min="1153" max="1157" width="8.83203125" style="39"/>
    <col min="1158" max="1165" width="9.1640625" style="39" bestFit="1" customWidth="1"/>
    <col min="1166" max="1167" width="8.83203125" style="39"/>
    <col min="1168" max="1168" width="11" style="39" bestFit="1" customWidth="1"/>
    <col min="1169" max="1173" width="8.83203125" style="39"/>
    <col min="1174" max="1181" width="9.1640625" style="39" bestFit="1" customWidth="1"/>
    <col min="1182" max="1183" width="8.83203125" style="39"/>
    <col min="1184" max="1184" width="11" style="39" bestFit="1" customWidth="1"/>
    <col min="1185" max="1189" width="8.83203125" style="39"/>
    <col min="1190" max="1197" width="9.1640625" style="39" bestFit="1" customWidth="1"/>
    <col min="1198" max="1199" width="8.83203125" style="39"/>
    <col min="1200" max="1200" width="11" style="39" bestFit="1" customWidth="1"/>
    <col min="1201" max="1205" width="8.83203125" style="39"/>
    <col min="1206" max="1213" width="9.1640625" style="39" bestFit="1" customWidth="1"/>
    <col min="1214" max="1215" width="8.83203125" style="39"/>
    <col min="1216" max="1216" width="11" style="39" bestFit="1" customWidth="1"/>
    <col min="1217" max="1221" width="8.83203125" style="39"/>
    <col min="1222" max="1229" width="9.1640625" style="39" bestFit="1" customWidth="1"/>
    <col min="1230" max="1231" width="8.83203125" style="39"/>
    <col min="1232" max="1232" width="11" style="39" bestFit="1" customWidth="1"/>
    <col min="1233" max="1237" width="8.83203125" style="39"/>
    <col min="1238" max="1245" width="9.1640625" style="39" bestFit="1" customWidth="1"/>
    <col min="1246" max="1247" width="8.83203125" style="39"/>
    <col min="1248" max="1248" width="11" style="39" bestFit="1" customWidth="1"/>
    <col min="1249" max="1253" width="8.83203125" style="39"/>
    <col min="1254" max="1261" width="9.1640625" style="39" bestFit="1" customWidth="1"/>
    <col min="1262" max="1263" width="8.83203125" style="39"/>
    <col min="1264" max="1264" width="11" style="39" bestFit="1" customWidth="1"/>
    <col min="1265" max="1269" width="8.83203125" style="39"/>
    <col min="1270" max="1277" width="9.1640625" style="39" bestFit="1" customWidth="1"/>
    <col min="1278" max="1279" width="8.83203125" style="39"/>
    <col min="1280" max="1280" width="11" style="39" bestFit="1" customWidth="1"/>
    <col min="1281" max="1285" width="8.83203125" style="39"/>
    <col min="1286" max="1293" width="9.1640625" style="39" bestFit="1" customWidth="1"/>
    <col min="1294" max="1295" width="8.83203125" style="39"/>
    <col min="1296" max="1296" width="11" style="39" bestFit="1" customWidth="1"/>
    <col min="1297" max="1301" width="8.83203125" style="39"/>
    <col min="1302" max="1309" width="9.1640625" style="39" bestFit="1" customWidth="1"/>
    <col min="1310" max="1311" width="8.83203125" style="39"/>
    <col min="1312" max="1312" width="11" style="39" bestFit="1" customWidth="1"/>
    <col min="1313" max="1317" width="8.83203125" style="39"/>
    <col min="1318" max="1325" width="9.1640625" style="39" bestFit="1" customWidth="1"/>
    <col min="1326" max="1327" width="8.83203125" style="39"/>
    <col min="1328" max="1328" width="11" style="39" bestFit="1" customWidth="1"/>
    <col min="1329" max="1333" width="8.83203125" style="39"/>
    <col min="1334" max="1341" width="9.1640625" style="39" bestFit="1" customWidth="1"/>
    <col min="1342" max="1343" width="8.83203125" style="39"/>
    <col min="1344" max="1344" width="11" style="39" bestFit="1" customWidth="1"/>
    <col min="1345" max="1349" width="8.83203125" style="39"/>
    <col min="1350" max="1357" width="9.1640625" style="39" bestFit="1" customWidth="1"/>
    <col min="1358" max="1359" width="8.83203125" style="39"/>
    <col min="1360" max="1360" width="11" style="39" bestFit="1" customWidth="1"/>
    <col min="1361" max="1365" width="8.83203125" style="39"/>
    <col min="1366" max="1373" width="9.1640625" style="39" bestFit="1" customWidth="1"/>
    <col min="1374" max="1375" width="8.83203125" style="39"/>
    <col min="1376" max="1376" width="11" style="39" bestFit="1" customWidth="1"/>
    <col min="1377" max="1381" width="8.83203125" style="39"/>
    <col min="1382" max="1389" width="9.1640625" style="39" bestFit="1" customWidth="1"/>
    <col min="1390" max="1391" width="8.83203125" style="39"/>
    <col min="1392" max="1392" width="11" style="39" bestFit="1" customWidth="1"/>
    <col min="1393" max="1397" width="8.83203125" style="39"/>
    <col min="1398" max="1405" width="9.1640625" style="39" bestFit="1" customWidth="1"/>
    <col min="1406" max="1407" width="8.83203125" style="39"/>
    <col min="1408" max="1408" width="11" style="39" bestFit="1" customWidth="1"/>
    <col min="1409" max="1413" width="8.83203125" style="39"/>
    <col min="1414" max="1421" width="9.1640625" style="39" bestFit="1" customWidth="1"/>
    <col min="1422" max="1423" width="8.83203125" style="39"/>
    <col min="1424" max="1424" width="11" style="39" bestFit="1" customWidth="1"/>
    <col min="1425" max="1429" width="8.83203125" style="39"/>
    <col min="1430" max="1437" width="9.1640625" style="39" bestFit="1" customWidth="1"/>
    <col min="1438" max="1439" width="8.83203125" style="39"/>
    <col min="1440" max="1440" width="11" style="39" bestFit="1" customWidth="1"/>
    <col min="1441" max="1445" width="8.83203125" style="39"/>
    <col min="1446" max="1453" width="9.1640625" style="39" bestFit="1" customWidth="1"/>
    <col min="1454" max="1455" width="8.83203125" style="39"/>
    <col min="1456" max="1456" width="11" style="39" bestFit="1" customWidth="1"/>
    <col min="1457" max="1461" width="8.83203125" style="39"/>
    <col min="1462" max="1469" width="9.1640625" style="39" bestFit="1" customWidth="1"/>
    <col min="1470" max="1471" width="8.83203125" style="39"/>
    <col min="1472" max="1472" width="11" style="39" bestFit="1" customWidth="1"/>
    <col min="1473" max="1477" width="8.83203125" style="39"/>
    <col min="1478" max="1485" width="9.1640625" style="39" bestFit="1" customWidth="1"/>
    <col min="1486" max="1487" width="8.83203125" style="39"/>
    <col min="1488" max="1488" width="11" style="39" bestFit="1" customWidth="1"/>
    <col min="1489" max="1493" width="8.83203125" style="39"/>
    <col min="1494" max="1501" width="9.1640625" style="39" bestFit="1" customWidth="1"/>
    <col min="1502" max="1503" width="8.83203125" style="39"/>
    <col min="1504" max="1504" width="11" style="39" bestFit="1" customWidth="1"/>
    <col min="1505" max="1509" width="8.83203125" style="39"/>
    <col min="1510" max="1517" width="9.1640625" style="39" bestFit="1" customWidth="1"/>
    <col min="1518" max="1519" width="8.83203125" style="39"/>
    <col min="1520" max="1520" width="11" style="39" bestFit="1" customWidth="1"/>
    <col min="1521" max="1525" width="8.83203125" style="39"/>
    <col min="1526" max="1533" width="9.1640625" style="39" bestFit="1" customWidth="1"/>
    <col min="1534" max="1535" width="8.83203125" style="39"/>
    <col min="1536" max="1536" width="11" style="39" bestFit="1" customWidth="1"/>
    <col min="1537" max="1541" width="8.83203125" style="39"/>
    <col min="1542" max="1549" width="9.1640625" style="39" bestFit="1" customWidth="1"/>
    <col min="1550" max="1551" width="8.83203125" style="39"/>
    <col min="1552" max="1552" width="11" style="39" bestFit="1" customWidth="1"/>
    <col min="1553" max="1557" width="8.83203125" style="39"/>
    <col min="1558" max="1565" width="9.1640625" style="39" bestFit="1" customWidth="1"/>
    <col min="1566" max="1567" width="8.83203125" style="39"/>
    <col min="1568" max="1568" width="11" style="39" bestFit="1" customWidth="1"/>
    <col min="1569" max="1573" width="8.83203125" style="39"/>
    <col min="1574" max="1581" width="9.1640625" style="39" bestFit="1" customWidth="1"/>
    <col min="1582" max="1583" width="8.83203125" style="39"/>
    <col min="1584" max="1584" width="11" style="39" bestFit="1" customWidth="1"/>
    <col min="1585" max="1589" width="8.83203125" style="39"/>
    <col min="1590" max="1597" width="9.1640625" style="39" bestFit="1" customWidth="1"/>
    <col min="1598" max="1599" width="8.83203125" style="39"/>
    <col min="1600" max="1600" width="11" style="39" bestFit="1" customWidth="1"/>
    <col min="1601" max="1605" width="8.83203125" style="39"/>
    <col min="1606" max="1613" width="9.1640625" style="39" bestFit="1" customWidth="1"/>
    <col min="1614" max="1615" width="8.83203125" style="39"/>
    <col min="1616" max="1616" width="11" style="39" bestFit="1" customWidth="1"/>
    <col min="1617" max="1621" width="8.83203125" style="39"/>
    <col min="1622" max="1629" width="9.1640625" style="39" bestFit="1" customWidth="1"/>
    <col min="1630" max="1631" width="8.83203125" style="39"/>
    <col min="1632" max="1632" width="11" style="39" bestFit="1" customWidth="1"/>
    <col min="1633" max="1637" width="8.83203125" style="39"/>
    <col min="1638" max="1645" width="9.1640625" style="39" bestFit="1" customWidth="1"/>
    <col min="1646" max="1647" width="8.83203125" style="39"/>
    <col min="1648" max="1648" width="11" style="39" bestFit="1" customWidth="1"/>
    <col min="1649" max="1653" width="8.83203125" style="39"/>
    <col min="1654" max="1661" width="9.1640625" style="39" bestFit="1" customWidth="1"/>
    <col min="1662" max="1663" width="8.83203125" style="39"/>
    <col min="1664" max="1664" width="11" style="39" bestFit="1" customWidth="1"/>
    <col min="1665" max="1669" width="8.83203125" style="39"/>
    <col min="1670" max="1677" width="9.1640625" style="39" bestFit="1" customWidth="1"/>
    <col min="1678" max="1679" width="8.83203125" style="39"/>
    <col min="1680" max="1680" width="11" style="39" bestFit="1" customWidth="1"/>
    <col min="1681" max="1685" width="8.83203125" style="39"/>
    <col min="1686" max="1693" width="9.1640625" style="39" bestFit="1" customWidth="1"/>
    <col min="1694" max="1695" width="8.83203125" style="39"/>
    <col min="1696" max="1696" width="11" style="39" bestFit="1" customWidth="1"/>
    <col min="1697" max="1701" width="8.83203125" style="39"/>
    <col min="1702" max="1709" width="9.1640625" style="39" bestFit="1" customWidth="1"/>
    <col min="1710" max="1711" width="8.83203125" style="39"/>
    <col min="1712" max="1712" width="11" style="39" bestFit="1" customWidth="1"/>
    <col min="1713" max="1717" width="8.83203125" style="39"/>
    <col min="1718" max="1725" width="9.1640625" style="39" bestFit="1" customWidth="1"/>
    <col min="1726" max="1727" width="8.83203125" style="39"/>
    <col min="1728" max="1728" width="11" style="39" bestFit="1" customWidth="1"/>
    <col min="1729" max="1733" width="8.83203125" style="39"/>
    <col min="1734" max="1741" width="9.1640625" style="39" bestFit="1" customWidth="1"/>
    <col min="1742" max="1743" width="8.83203125" style="39"/>
    <col min="1744" max="1744" width="11" style="39" bestFit="1" customWidth="1"/>
    <col min="1745" max="1749" width="8.83203125" style="39"/>
    <col min="1750" max="1757" width="9.1640625" style="39" bestFit="1" customWidth="1"/>
    <col min="1758" max="1759" width="8.83203125" style="39"/>
    <col min="1760" max="1760" width="11" style="39" bestFit="1" customWidth="1"/>
    <col min="1761" max="1765" width="8.83203125" style="39"/>
    <col min="1766" max="1773" width="9.1640625" style="39" bestFit="1" customWidth="1"/>
    <col min="1774" max="1775" width="8.83203125" style="39"/>
    <col min="1776" max="1776" width="11" style="39" bestFit="1" customWidth="1"/>
    <col min="1777" max="1781" width="8.83203125" style="39"/>
    <col min="1782" max="1789" width="9.1640625" style="39" bestFit="1" customWidth="1"/>
    <col min="1790" max="1791" width="8.83203125" style="39"/>
    <col min="1792" max="1792" width="11" style="39" bestFit="1" customWidth="1"/>
    <col min="1793" max="1797" width="8.83203125" style="39"/>
    <col min="1798" max="1805" width="9.1640625" style="39" bestFit="1" customWidth="1"/>
    <col min="1806" max="1807" width="8.83203125" style="39"/>
    <col min="1808" max="1808" width="11" style="39" bestFit="1" customWidth="1"/>
    <col min="1809" max="1813" width="8.83203125" style="39"/>
    <col min="1814" max="1821" width="9.1640625" style="39" bestFit="1" customWidth="1"/>
    <col min="1822" max="1823" width="8.83203125" style="39"/>
    <col min="1824" max="1824" width="11" style="39" bestFit="1" customWidth="1"/>
    <col min="1825" max="1829" width="8.83203125" style="39"/>
    <col min="1830" max="1837" width="9.1640625" style="39" bestFit="1" customWidth="1"/>
    <col min="1838" max="1839" width="8.83203125" style="39"/>
    <col min="1840" max="1840" width="11" style="39" bestFit="1" customWidth="1"/>
    <col min="1841" max="1845" width="8.83203125" style="39"/>
    <col min="1846" max="1853" width="9.1640625" style="39" bestFit="1" customWidth="1"/>
    <col min="1854" max="1855" width="8.83203125" style="39"/>
    <col min="1856" max="1856" width="11" style="39" bestFit="1" customWidth="1"/>
    <col min="1857" max="1861" width="8.83203125" style="39"/>
    <col min="1862" max="1869" width="9.1640625" style="39" bestFit="1" customWidth="1"/>
    <col min="1870" max="1871" width="8.83203125" style="39"/>
    <col min="1872" max="1872" width="11" style="39" bestFit="1" customWidth="1"/>
    <col min="1873" max="1877" width="8.83203125" style="39"/>
    <col min="1878" max="1885" width="9.1640625" style="39" bestFit="1" customWidth="1"/>
    <col min="1886" max="1887" width="8.83203125" style="39"/>
    <col min="1888" max="1888" width="11" style="39" bestFit="1" customWidth="1"/>
    <col min="1889" max="1893" width="8.83203125" style="39"/>
    <col min="1894" max="1901" width="9.1640625" style="39" bestFit="1" customWidth="1"/>
    <col min="1902" max="1903" width="8.83203125" style="39"/>
    <col min="1904" max="1904" width="11" style="39" bestFit="1" customWidth="1"/>
    <col min="1905" max="1909" width="8.83203125" style="39"/>
    <col min="1910" max="1917" width="9.1640625" style="39" bestFit="1" customWidth="1"/>
    <col min="1918" max="1919" width="8.83203125" style="39"/>
    <col min="1920" max="1920" width="11" style="39" bestFit="1" customWidth="1"/>
    <col min="1921" max="1925" width="8.83203125" style="39"/>
    <col min="1926" max="1933" width="9.1640625" style="39" bestFit="1" customWidth="1"/>
    <col min="1934" max="1935" width="8.83203125" style="39"/>
    <col min="1936" max="1936" width="11" style="39" bestFit="1" customWidth="1"/>
    <col min="1937" max="1941" width="8.83203125" style="39"/>
    <col min="1942" max="1949" width="9.1640625" style="39" bestFit="1" customWidth="1"/>
    <col min="1950" max="1951" width="8.83203125" style="39"/>
    <col min="1952" max="1952" width="11" style="39" bestFit="1" customWidth="1"/>
    <col min="1953" max="1957" width="8.83203125" style="39"/>
    <col min="1958" max="1965" width="9.1640625" style="39" bestFit="1" customWidth="1"/>
    <col min="1966" max="1967" width="8.83203125" style="39"/>
    <col min="1968" max="1968" width="11" style="39" bestFit="1" customWidth="1"/>
    <col min="1969" max="1973" width="8.83203125" style="39"/>
    <col min="1974" max="1981" width="9.1640625" style="39" bestFit="1" customWidth="1"/>
    <col min="1982" max="1983" width="8.83203125" style="39"/>
    <col min="1984" max="1984" width="11" style="39" bestFit="1" customWidth="1"/>
    <col min="1985" max="1989" width="8.83203125" style="39"/>
    <col min="1990" max="1997" width="9.1640625" style="39" bestFit="1" customWidth="1"/>
    <col min="1998" max="1999" width="8.83203125" style="39"/>
    <col min="2000" max="2000" width="11" style="39" bestFit="1" customWidth="1"/>
    <col min="2001" max="2005" width="8.83203125" style="39"/>
    <col min="2006" max="2013" width="9.1640625" style="39" bestFit="1" customWidth="1"/>
    <col min="2014" max="2015" width="8.83203125" style="39"/>
    <col min="2016" max="2016" width="11" style="39" bestFit="1" customWidth="1"/>
    <col min="2017" max="2021" width="8.83203125" style="39"/>
    <col min="2022" max="2029" width="9.1640625" style="39" bestFit="1" customWidth="1"/>
    <col min="2030" max="2031" width="8.83203125" style="39"/>
    <col min="2032" max="2032" width="11" style="39" bestFit="1" customWidth="1"/>
    <col min="2033" max="2037" width="8.83203125" style="39"/>
    <col min="2038" max="2045" width="9.1640625" style="39" bestFit="1" customWidth="1"/>
    <col min="2046" max="2047" width="8.83203125" style="39"/>
    <col min="2048" max="2048" width="11" style="39" bestFit="1" customWidth="1"/>
    <col min="2049" max="2053" width="8.83203125" style="39"/>
    <col min="2054" max="2061" width="9.1640625" style="39" bestFit="1" customWidth="1"/>
    <col min="2062" max="2063" width="8.83203125" style="39"/>
    <col min="2064" max="2064" width="11" style="39" bestFit="1" customWidth="1"/>
    <col min="2065" max="2069" width="8.83203125" style="39"/>
    <col min="2070" max="2077" width="9.1640625" style="39" bestFit="1" customWidth="1"/>
    <col min="2078" max="2079" width="8.83203125" style="39"/>
    <col min="2080" max="2080" width="11" style="39" bestFit="1" customWidth="1"/>
    <col min="2081" max="2085" width="8.83203125" style="39"/>
    <col min="2086" max="2093" width="9.1640625" style="39" bestFit="1" customWidth="1"/>
    <col min="2094" max="2095" width="8.83203125" style="39"/>
    <col min="2096" max="2096" width="11" style="39" bestFit="1" customWidth="1"/>
    <col min="2097" max="2101" width="8.83203125" style="39"/>
    <col min="2102" max="2109" width="9.1640625" style="39" bestFit="1" customWidth="1"/>
    <col min="2110" max="2111" width="8.83203125" style="39"/>
    <col min="2112" max="2112" width="11" style="39" bestFit="1" customWidth="1"/>
    <col min="2113" max="2117" width="8.83203125" style="39"/>
    <col min="2118" max="2125" width="9.1640625" style="39" bestFit="1" customWidth="1"/>
    <col min="2126" max="2127" width="8.83203125" style="39"/>
    <col min="2128" max="2128" width="11" style="39" bestFit="1" customWidth="1"/>
    <col min="2129" max="2133" width="8.83203125" style="39"/>
    <col min="2134" max="2141" width="9.1640625" style="39" bestFit="1" customWidth="1"/>
    <col min="2142" max="2143" width="8.83203125" style="39"/>
    <col min="2144" max="2144" width="11" style="39" bestFit="1" customWidth="1"/>
    <col min="2145" max="2149" width="8.83203125" style="39"/>
    <col min="2150" max="2157" width="9.1640625" style="39" bestFit="1" customWidth="1"/>
    <col min="2158" max="2159" width="8.83203125" style="39"/>
    <col min="2160" max="2160" width="11" style="39" bestFit="1" customWidth="1"/>
    <col min="2161" max="2165" width="8.83203125" style="39"/>
    <col min="2166" max="2173" width="9.1640625" style="39" bestFit="1" customWidth="1"/>
    <col min="2174" max="2175" width="8.83203125" style="39"/>
    <col min="2176" max="2176" width="11" style="39" bestFit="1" customWidth="1"/>
    <col min="2177" max="2181" width="8.83203125" style="39"/>
    <col min="2182" max="2189" width="9.1640625" style="39" bestFit="1" customWidth="1"/>
    <col min="2190" max="2191" width="8.83203125" style="39"/>
    <col min="2192" max="2192" width="11" style="39" bestFit="1" customWidth="1"/>
    <col min="2193" max="2197" width="8.83203125" style="39"/>
    <col min="2198" max="2205" width="9.1640625" style="39" bestFit="1" customWidth="1"/>
    <col min="2206" max="2207" width="8.83203125" style="39"/>
    <col min="2208" max="2208" width="11" style="39" bestFit="1" customWidth="1"/>
    <col min="2209" max="2213" width="8.83203125" style="39"/>
    <col min="2214" max="2221" width="9.1640625" style="39" bestFit="1" customWidth="1"/>
    <col min="2222" max="2223" width="8.83203125" style="39"/>
    <col min="2224" max="2224" width="11" style="39" bestFit="1" customWidth="1"/>
    <col min="2225" max="2229" width="8.83203125" style="39"/>
    <col min="2230" max="2237" width="9.1640625" style="39" bestFit="1" customWidth="1"/>
    <col min="2238" max="2239" width="8.83203125" style="39"/>
    <col min="2240" max="2240" width="11" style="39" bestFit="1" customWidth="1"/>
    <col min="2241" max="2245" width="8.83203125" style="39"/>
    <col min="2246" max="2253" width="9.1640625" style="39" bestFit="1" customWidth="1"/>
    <col min="2254" max="2255" width="8.83203125" style="39"/>
    <col min="2256" max="2256" width="11" style="39" bestFit="1" customWidth="1"/>
    <col min="2257" max="2261" width="8.83203125" style="39"/>
    <col min="2262" max="2269" width="9.1640625" style="39" bestFit="1" customWidth="1"/>
    <col min="2270" max="2271" width="8.83203125" style="39"/>
    <col min="2272" max="2272" width="11" style="39" bestFit="1" customWidth="1"/>
    <col min="2273" max="2277" width="8.83203125" style="39"/>
    <col min="2278" max="2285" width="9.1640625" style="39" bestFit="1" customWidth="1"/>
    <col min="2286" max="2287" width="8.83203125" style="39"/>
    <col min="2288" max="2288" width="11" style="39" bestFit="1" customWidth="1"/>
    <col min="2289" max="2293" width="8.83203125" style="39"/>
    <col min="2294" max="2301" width="9.1640625" style="39" bestFit="1" customWidth="1"/>
    <col min="2302" max="2303" width="8.83203125" style="39"/>
    <col min="2304" max="2304" width="11" style="39" bestFit="1" customWidth="1"/>
    <col min="2305" max="2309" width="8.83203125" style="39"/>
    <col min="2310" max="2317" width="9.1640625" style="39" bestFit="1" customWidth="1"/>
    <col min="2318" max="2319" width="8.83203125" style="39"/>
    <col min="2320" max="2320" width="11" style="39" bestFit="1" customWidth="1"/>
    <col min="2321" max="2325" width="8.83203125" style="39"/>
    <col min="2326" max="2333" width="9.1640625" style="39" bestFit="1" customWidth="1"/>
    <col min="2334" max="2335" width="8.83203125" style="39"/>
    <col min="2336" max="2336" width="11" style="39" bestFit="1" customWidth="1"/>
    <col min="2337" max="2341" width="8.83203125" style="39"/>
    <col min="2342" max="2349" width="9.1640625" style="39" bestFit="1" customWidth="1"/>
    <col min="2350" max="2351" width="8.83203125" style="39"/>
    <col min="2352" max="2352" width="11" style="39" bestFit="1" customWidth="1"/>
    <col min="2353" max="2357" width="8.83203125" style="39"/>
    <col min="2358" max="2365" width="9.1640625" style="39" bestFit="1" customWidth="1"/>
    <col min="2366" max="2367" width="8.83203125" style="39"/>
    <col min="2368" max="2368" width="11" style="39" bestFit="1" customWidth="1"/>
    <col min="2369" max="2373" width="8.83203125" style="39"/>
    <col min="2374" max="2381" width="9.1640625" style="39" bestFit="1" customWidth="1"/>
    <col min="2382" max="2383" width="8.83203125" style="39"/>
    <col min="2384" max="2384" width="11" style="39" bestFit="1" customWidth="1"/>
    <col min="2385" max="2389" width="8.83203125" style="39"/>
    <col min="2390" max="2397" width="9.1640625" style="39" bestFit="1" customWidth="1"/>
    <col min="2398" max="2399" width="8.83203125" style="39"/>
    <col min="2400" max="2400" width="11" style="39" bestFit="1" customWidth="1"/>
    <col min="2401" max="2405" width="8.83203125" style="39"/>
    <col min="2406" max="2413" width="9.1640625" style="39" bestFit="1" customWidth="1"/>
    <col min="2414" max="2415" width="8.83203125" style="39"/>
    <col min="2416" max="2416" width="11" style="39" bestFit="1" customWidth="1"/>
    <col min="2417" max="2421" width="8.83203125" style="39"/>
    <col min="2422" max="2429" width="9.1640625" style="39" bestFit="1" customWidth="1"/>
    <col min="2430" max="2431" width="8.83203125" style="39"/>
    <col min="2432" max="2432" width="11" style="39" bestFit="1" customWidth="1"/>
    <col min="2433" max="2437" width="8.83203125" style="39"/>
    <col min="2438" max="2445" width="9.1640625" style="39" bestFit="1" customWidth="1"/>
    <col min="2446" max="2447" width="8.83203125" style="39"/>
    <col min="2448" max="2448" width="11" style="39" bestFit="1" customWidth="1"/>
    <col min="2449" max="2453" width="8.83203125" style="39"/>
    <col min="2454" max="2461" width="9.1640625" style="39" bestFit="1" customWidth="1"/>
    <col min="2462" max="2463" width="8.83203125" style="39"/>
    <col min="2464" max="2464" width="11" style="39" bestFit="1" customWidth="1"/>
    <col min="2465" max="2469" width="8.83203125" style="39"/>
    <col min="2470" max="2477" width="9.1640625" style="39" bestFit="1" customWidth="1"/>
    <col min="2478" max="2479" width="8.83203125" style="39"/>
    <col min="2480" max="2480" width="11" style="39" bestFit="1" customWidth="1"/>
    <col min="2481" max="2485" width="8.83203125" style="39"/>
    <col min="2486" max="2493" width="9.1640625" style="39" bestFit="1" customWidth="1"/>
    <col min="2494" max="2495" width="8.83203125" style="39"/>
    <col min="2496" max="2496" width="11" style="39" bestFit="1" customWidth="1"/>
    <col min="2497" max="2501" width="8.83203125" style="39"/>
    <col min="2502" max="2509" width="9.1640625" style="39" bestFit="1" customWidth="1"/>
    <col min="2510" max="2511" width="8.83203125" style="39"/>
    <col min="2512" max="2512" width="11" style="39" bestFit="1" customWidth="1"/>
    <col min="2513" max="2517" width="8.83203125" style="39"/>
    <col min="2518" max="2525" width="9.1640625" style="39" bestFit="1" customWidth="1"/>
    <col min="2526" max="2527" width="8.83203125" style="39"/>
    <col min="2528" max="2528" width="11" style="39" bestFit="1" customWidth="1"/>
    <col min="2529" max="2533" width="8.83203125" style="39"/>
    <col min="2534" max="2541" width="9.1640625" style="39" bestFit="1" customWidth="1"/>
    <col min="2542" max="2543" width="8.83203125" style="39"/>
    <col min="2544" max="2544" width="11" style="39" bestFit="1" customWidth="1"/>
    <col min="2545" max="2549" width="8.83203125" style="39"/>
    <col min="2550" max="2557" width="9.1640625" style="39" bestFit="1" customWidth="1"/>
    <col min="2558" max="2559" width="8.83203125" style="39"/>
    <col min="2560" max="2560" width="11" style="39" bestFit="1" customWidth="1"/>
    <col min="2561" max="2565" width="8.83203125" style="39"/>
    <col min="2566" max="2573" width="9.1640625" style="39" bestFit="1" customWidth="1"/>
    <col min="2574" max="2575" width="8.83203125" style="39"/>
    <col min="2576" max="2576" width="11" style="39" bestFit="1" customWidth="1"/>
    <col min="2577" max="2581" width="8.83203125" style="39"/>
    <col min="2582" max="2589" width="9.1640625" style="39" bestFit="1" customWidth="1"/>
    <col min="2590" max="2591" width="8.83203125" style="39"/>
    <col min="2592" max="2592" width="11" style="39" bestFit="1" customWidth="1"/>
    <col min="2593" max="2597" width="8.83203125" style="39"/>
    <col min="2598" max="2605" width="9.1640625" style="39" bestFit="1" customWidth="1"/>
    <col min="2606" max="2607" width="8.83203125" style="39"/>
    <col min="2608" max="2608" width="11" style="39" bestFit="1" customWidth="1"/>
    <col min="2609" max="2613" width="8.83203125" style="39"/>
    <col min="2614" max="2621" width="9.1640625" style="39" bestFit="1" customWidth="1"/>
    <col min="2622" max="2623" width="8.83203125" style="39"/>
    <col min="2624" max="2624" width="11" style="39" bestFit="1" customWidth="1"/>
    <col min="2625" max="2629" width="8.83203125" style="39"/>
    <col min="2630" max="2637" width="9.1640625" style="39" bestFit="1" customWidth="1"/>
    <col min="2638" max="2639" width="8.83203125" style="39"/>
    <col min="2640" max="2640" width="11" style="39" bestFit="1" customWidth="1"/>
    <col min="2641" max="2645" width="8.83203125" style="39"/>
    <col min="2646" max="2653" width="9.1640625" style="39" bestFit="1" customWidth="1"/>
    <col min="2654" max="2655" width="8.83203125" style="39"/>
    <col min="2656" max="2656" width="11" style="39" bestFit="1" customWidth="1"/>
    <col min="2657" max="2661" width="8.83203125" style="39"/>
    <col min="2662" max="2669" width="9.1640625" style="39" bestFit="1" customWidth="1"/>
    <col min="2670" max="2671" width="8.83203125" style="39"/>
    <col min="2672" max="2672" width="11" style="39" bestFit="1" customWidth="1"/>
    <col min="2673" max="2677" width="8.83203125" style="39"/>
    <col min="2678" max="2685" width="9.1640625" style="39" bestFit="1" customWidth="1"/>
    <col min="2686" max="2687" width="8.83203125" style="39"/>
    <col min="2688" max="2688" width="11" style="39" bestFit="1" customWidth="1"/>
    <col min="2689" max="2693" width="8.83203125" style="39"/>
    <col min="2694" max="2701" width="9.1640625" style="39" bestFit="1" customWidth="1"/>
    <col min="2702" max="2703" width="8.83203125" style="39"/>
    <col min="2704" max="2704" width="11" style="39" bestFit="1" customWidth="1"/>
    <col min="2705" max="2709" width="8.83203125" style="39"/>
    <col min="2710" max="2717" width="9.1640625" style="39" bestFit="1" customWidth="1"/>
    <col min="2718" max="2719" width="8.83203125" style="39"/>
    <col min="2720" max="2720" width="11" style="39" bestFit="1" customWidth="1"/>
    <col min="2721" max="2725" width="8.83203125" style="39"/>
    <col min="2726" max="2733" width="9.1640625" style="39" bestFit="1" customWidth="1"/>
    <col min="2734" max="2735" width="8.83203125" style="39"/>
    <col min="2736" max="2736" width="11" style="39" bestFit="1" customWidth="1"/>
    <col min="2737" max="2741" width="8.83203125" style="39"/>
    <col min="2742" max="2749" width="9.1640625" style="39" bestFit="1" customWidth="1"/>
    <col min="2750" max="2751" width="8.83203125" style="39"/>
    <col min="2752" max="2752" width="11" style="39" bestFit="1" customWidth="1"/>
    <col min="2753" max="2757" width="8.83203125" style="39"/>
    <col min="2758" max="2765" width="9.1640625" style="39" bestFit="1" customWidth="1"/>
    <col min="2766" max="2767" width="8.83203125" style="39"/>
    <col min="2768" max="2768" width="11" style="39" bestFit="1" customWidth="1"/>
    <col min="2769" max="2773" width="8.83203125" style="39"/>
    <col min="2774" max="2781" width="9.1640625" style="39" bestFit="1" customWidth="1"/>
    <col min="2782" max="2783" width="8.83203125" style="39"/>
    <col min="2784" max="2784" width="11" style="39" bestFit="1" customWidth="1"/>
    <col min="2785" max="2789" width="8.83203125" style="39"/>
    <col min="2790" max="2797" width="9.1640625" style="39" bestFit="1" customWidth="1"/>
    <col min="2798" max="2799" width="8.83203125" style="39"/>
    <col min="2800" max="2800" width="11" style="39" bestFit="1" customWidth="1"/>
    <col min="2801" max="2805" width="8.83203125" style="39"/>
    <col min="2806" max="2813" width="9.1640625" style="39" bestFit="1" customWidth="1"/>
    <col min="2814" max="2815" width="8.83203125" style="39"/>
    <col min="2816" max="2816" width="11" style="39" bestFit="1" customWidth="1"/>
    <col min="2817" max="2821" width="8.83203125" style="39"/>
    <col min="2822" max="2829" width="9.1640625" style="39" bestFit="1" customWidth="1"/>
    <col min="2830" max="2831" width="8.83203125" style="39"/>
    <col min="2832" max="2832" width="11" style="39" bestFit="1" customWidth="1"/>
    <col min="2833" max="2837" width="8.83203125" style="39"/>
    <col min="2838" max="2845" width="9.1640625" style="39" bestFit="1" customWidth="1"/>
    <col min="2846" max="2847" width="8.83203125" style="39"/>
    <col min="2848" max="2848" width="11" style="39" bestFit="1" customWidth="1"/>
    <col min="2849" max="2853" width="8.83203125" style="39"/>
    <col min="2854" max="2861" width="9.1640625" style="39" bestFit="1" customWidth="1"/>
    <col min="2862" max="2863" width="8.83203125" style="39"/>
    <col min="2864" max="2864" width="11" style="39" bestFit="1" customWidth="1"/>
    <col min="2865" max="2869" width="8.83203125" style="39"/>
    <col min="2870" max="2877" width="9.1640625" style="39" bestFit="1" customWidth="1"/>
    <col min="2878" max="2879" width="8.83203125" style="39"/>
    <col min="2880" max="2880" width="11" style="39" bestFit="1" customWidth="1"/>
    <col min="2881" max="2885" width="8.83203125" style="39"/>
    <col min="2886" max="2893" width="9.1640625" style="39" bestFit="1" customWidth="1"/>
    <col min="2894" max="2895" width="8.83203125" style="39"/>
    <col min="2896" max="2896" width="11" style="39" bestFit="1" customWidth="1"/>
    <col min="2897" max="2901" width="8.83203125" style="39"/>
    <col min="2902" max="2909" width="9.1640625" style="39" bestFit="1" customWidth="1"/>
    <col min="2910" max="2911" width="8.83203125" style="39"/>
    <col min="2912" max="2912" width="11" style="39" bestFit="1" customWidth="1"/>
    <col min="2913" max="2917" width="8.83203125" style="39"/>
    <col min="2918" max="2925" width="9.1640625" style="39" bestFit="1" customWidth="1"/>
    <col min="2926" max="2927" width="8.83203125" style="39"/>
    <col min="2928" max="2928" width="11" style="39" bestFit="1" customWidth="1"/>
    <col min="2929" max="2933" width="8.83203125" style="39"/>
    <col min="2934" max="2941" width="9.1640625" style="39" bestFit="1" customWidth="1"/>
    <col min="2942" max="2943" width="8.83203125" style="39"/>
    <col min="2944" max="2944" width="11" style="39" bestFit="1" customWidth="1"/>
    <col min="2945" max="2949" width="8.83203125" style="39"/>
    <col min="2950" max="2957" width="9.1640625" style="39" bestFit="1" customWidth="1"/>
    <col min="2958" max="2959" width="8.83203125" style="39"/>
    <col min="2960" max="2960" width="11" style="39" bestFit="1" customWidth="1"/>
    <col min="2961" max="2965" width="8.83203125" style="39"/>
    <col min="2966" max="2973" width="9.1640625" style="39" bestFit="1" customWidth="1"/>
    <col min="2974" max="2975" width="8.83203125" style="39"/>
    <col min="2976" max="2976" width="11" style="39" bestFit="1" customWidth="1"/>
    <col min="2977" max="2981" width="8.83203125" style="39"/>
    <col min="2982" max="2989" width="9.1640625" style="39" bestFit="1" customWidth="1"/>
    <col min="2990" max="2991" width="8.83203125" style="39"/>
    <col min="2992" max="2992" width="11" style="39" bestFit="1" customWidth="1"/>
    <col min="2993" max="2997" width="8.83203125" style="39"/>
    <col min="2998" max="3005" width="9.1640625" style="39" bestFit="1" customWidth="1"/>
    <col min="3006" max="3007" width="8.83203125" style="39"/>
    <col min="3008" max="3008" width="11" style="39" bestFit="1" customWidth="1"/>
    <col min="3009" max="3013" width="8.83203125" style="39"/>
    <col min="3014" max="3021" width="9.1640625" style="39" bestFit="1" customWidth="1"/>
    <col min="3022" max="3023" width="8.83203125" style="39"/>
    <col min="3024" max="3024" width="11" style="39" bestFit="1" customWidth="1"/>
    <col min="3025" max="3029" width="8.83203125" style="39"/>
    <col min="3030" max="3037" width="9.1640625" style="39" bestFit="1" customWidth="1"/>
    <col min="3038" max="3039" width="8.83203125" style="39"/>
    <col min="3040" max="3040" width="11" style="39" bestFit="1" customWidth="1"/>
    <col min="3041" max="3045" width="8.83203125" style="39"/>
    <col min="3046" max="3053" width="9.1640625" style="39" bestFit="1" customWidth="1"/>
    <col min="3054" max="3055" width="8.83203125" style="39"/>
    <col min="3056" max="3056" width="11" style="39" bestFit="1" customWidth="1"/>
    <col min="3057" max="3061" width="8.83203125" style="39"/>
    <col min="3062" max="3069" width="9.1640625" style="39" bestFit="1" customWidth="1"/>
    <col min="3070" max="3071" width="8.83203125" style="39"/>
    <col min="3072" max="3072" width="11" style="39" bestFit="1" customWidth="1"/>
    <col min="3073" max="3077" width="8.83203125" style="39"/>
    <col min="3078" max="3085" width="9.1640625" style="39" bestFit="1" customWidth="1"/>
    <col min="3086" max="3087" width="8.83203125" style="39"/>
    <col min="3088" max="3088" width="11" style="39" bestFit="1" customWidth="1"/>
    <col min="3089" max="3093" width="8.83203125" style="39"/>
    <col min="3094" max="3101" width="9.1640625" style="39" bestFit="1" customWidth="1"/>
    <col min="3102" max="3103" width="8.83203125" style="39"/>
    <col min="3104" max="3104" width="11" style="39" bestFit="1" customWidth="1"/>
    <col min="3105" max="3109" width="8.83203125" style="39"/>
    <col min="3110" max="3117" width="9.1640625" style="39" bestFit="1" customWidth="1"/>
    <col min="3118" max="3119" width="8.83203125" style="39"/>
    <col min="3120" max="3120" width="11" style="39" bestFit="1" customWidth="1"/>
    <col min="3121" max="3125" width="8.83203125" style="39"/>
    <col min="3126" max="3133" width="9.1640625" style="39" bestFit="1" customWidth="1"/>
    <col min="3134" max="3135" width="8.83203125" style="39"/>
    <col min="3136" max="3136" width="11" style="39" bestFit="1" customWidth="1"/>
    <col min="3137" max="3141" width="8.83203125" style="39"/>
    <col min="3142" max="3149" width="9.1640625" style="39" bestFit="1" customWidth="1"/>
    <col min="3150" max="3151" width="8.83203125" style="39"/>
    <col min="3152" max="3152" width="11" style="39" bestFit="1" customWidth="1"/>
    <col min="3153" max="3157" width="8.83203125" style="39"/>
    <col min="3158" max="3165" width="9.1640625" style="39" bestFit="1" customWidth="1"/>
    <col min="3166" max="3167" width="8.83203125" style="39"/>
    <col min="3168" max="3168" width="11" style="39" bestFit="1" customWidth="1"/>
    <col min="3169" max="3173" width="8.83203125" style="39"/>
    <col min="3174" max="3181" width="9.1640625" style="39" bestFit="1" customWidth="1"/>
    <col min="3182" max="3183" width="8.83203125" style="39"/>
    <col min="3184" max="3184" width="11" style="39" bestFit="1" customWidth="1"/>
    <col min="3185" max="3189" width="8.83203125" style="39"/>
    <col min="3190" max="3197" width="9.1640625" style="39" bestFit="1" customWidth="1"/>
    <col min="3198" max="3199" width="8.83203125" style="39"/>
    <col min="3200" max="3200" width="11" style="39" bestFit="1" customWidth="1"/>
    <col min="3201" max="3205" width="8.83203125" style="39"/>
    <col min="3206" max="3213" width="9.1640625" style="39" bestFit="1" customWidth="1"/>
    <col min="3214" max="3215" width="8.83203125" style="39"/>
    <col min="3216" max="3216" width="11" style="39" bestFit="1" customWidth="1"/>
    <col min="3217" max="3221" width="8.83203125" style="39"/>
    <col min="3222" max="3229" width="9.1640625" style="39" bestFit="1" customWidth="1"/>
    <col min="3230" max="3231" width="8.83203125" style="39"/>
    <col min="3232" max="3232" width="11" style="39" bestFit="1" customWidth="1"/>
    <col min="3233" max="3237" width="8.83203125" style="39"/>
    <col min="3238" max="3245" width="9.1640625" style="39" bestFit="1" customWidth="1"/>
    <col min="3246" max="3247" width="8.83203125" style="39"/>
    <col min="3248" max="3248" width="11" style="39" bestFit="1" customWidth="1"/>
    <col min="3249" max="3253" width="8.83203125" style="39"/>
    <col min="3254" max="3261" width="9.1640625" style="39" bestFit="1" customWidth="1"/>
    <col min="3262" max="3263" width="8.83203125" style="39"/>
    <col min="3264" max="3264" width="11" style="39" bestFit="1" customWidth="1"/>
    <col min="3265" max="3269" width="8.83203125" style="39"/>
    <col min="3270" max="3277" width="9.1640625" style="39" bestFit="1" customWidth="1"/>
    <col min="3278" max="3279" width="8.83203125" style="39"/>
    <col min="3280" max="3280" width="11" style="39" bestFit="1" customWidth="1"/>
    <col min="3281" max="3285" width="8.83203125" style="39"/>
    <col min="3286" max="3293" width="9.1640625" style="39" bestFit="1" customWidth="1"/>
    <col min="3294" max="3295" width="8.83203125" style="39"/>
    <col min="3296" max="3296" width="11" style="39" bestFit="1" customWidth="1"/>
    <col min="3297" max="3301" width="8.83203125" style="39"/>
    <col min="3302" max="3309" width="9.1640625" style="39" bestFit="1" customWidth="1"/>
    <col min="3310" max="3311" width="8.83203125" style="39"/>
    <col min="3312" max="3312" width="11" style="39" bestFit="1" customWidth="1"/>
    <col min="3313" max="3317" width="8.83203125" style="39"/>
    <col min="3318" max="3325" width="9.1640625" style="39" bestFit="1" customWidth="1"/>
    <col min="3326" max="3327" width="8.83203125" style="39"/>
    <col min="3328" max="3328" width="11" style="39" bestFit="1" customWidth="1"/>
    <col min="3329" max="3333" width="8.83203125" style="39"/>
    <col min="3334" max="3341" width="9.1640625" style="39" bestFit="1" customWidth="1"/>
    <col min="3342" max="3343" width="8.83203125" style="39"/>
    <col min="3344" max="3344" width="11" style="39" bestFit="1" customWidth="1"/>
    <col min="3345" max="3349" width="8.83203125" style="39"/>
    <col min="3350" max="3357" width="9.1640625" style="39" bestFit="1" customWidth="1"/>
    <col min="3358" max="3359" width="8.83203125" style="39"/>
    <col min="3360" max="3360" width="11" style="39" bestFit="1" customWidth="1"/>
    <col min="3361" max="3365" width="8.83203125" style="39"/>
    <col min="3366" max="3373" width="9.1640625" style="39" bestFit="1" customWidth="1"/>
    <col min="3374" max="3375" width="8.83203125" style="39"/>
    <col min="3376" max="3376" width="11" style="39" bestFit="1" customWidth="1"/>
    <col min="3377" max="3381" width="8.83203125" style="39"/>
    <col min="3382" max="3389" width="9.1640625" style="39" bestFit="1" customWidth="1"/>
    <col min="3390" max="3391" width="8.83203125" style="39"/>
    <col min="3392" max="3392" width="11" style="39" bestFit="1" customWidth="1"/>
    <col min="3393" max="3397" width="8.83203125" style="39"/>
    <col min="3398" max="3405" width="9.1640625" style="39" bestFit="1" customWidth="1"/>
    <col min="3406" max="3407" width="8.83203125" style="39"/>
    <col min="3408" max="3408" width="11" style="39" bestFit="1" customWidth="1"/>
    <col min="3409" max="3413" width="8.83203125" style="39"/>
    <col min="3414" max="3421" width="9.1640625" style="39" bestFit="1" customWidth="1"/>
    <col min="3422" max="3423" width="8.83203125" style="39"/>
    <col min="3424" max="3424" width="11" style="39" bestFit="1" customWidth="1"/>
    <col min="3425" max="3429" width="8.83203125" style="39"/>
    <col min="3430" max="3437" width="9.1640625" style="39" bestFit="1" customWidth="1"/>
    <col min="3438" max="3439" width="8.83203125" style="39"/>
    <col min="3440" max="3440" width="11" style="39" bestFit="1" customWidth="1"/>
    <col min="3441" max="3445" width="8.83203125" style="39"/>
    <col min="3446" max="3453" width="9.1640625" style="39" bestFit="1" customWidth="1"/>
    <col min="3454" max="3455" width="8.83203125" style="39"/>
    <col min="3456" max="3456" width="11" style="39" bestFit="1" customWidth="1"/>
    <col min="3457" max="3461" width="8.83203125" style="39"/>
    <col min="3462" max="3469" width="9.1640625" style="39" bestFit="1" customWidth="1"/>
    <col min="3470" max="3471" width="8.83203125" style="39"/>
    <col min="3472" max="3472" width="11" style="39" bestFit="1" customWidth="1"/>
    <col min="3473" max="3477" width="8.83203125" style="39"/>
    <col min="3478" max="3485" width="9.1640625" style="39" bestFit="1" customWidth="1"/>
    <col min="3486" max="3487" width="8.83203125" style="39"/>
    <col min="3488" max="3488" width="11" style="39" bestFit="1" customWidth="1"/>
    <col min="3489" max="3493" width="8.83203125" style="39"/>
    <col min="3494" max="3501" width="9.1640625" style="39" bestFit="1" customWidth="1"/>
    <col min="3502" max="3503" width="8.83203125" style="39"/>
    <col min="3504" max="3504" width="11" style="39" bestFit="1" customWidth="1"/>
    <col min="3505" max="3509" width="8.83203125" style="39"/>
    <col min="3510" max="3517" width="9.1640625" style="39" bestFit="1" customWidth="1"/>
    <col min="3518" max="3519" width="8.83203125" style="39"/>
    <col min="3520" max="3520" width="11" style="39" bestFit="1" customWidth="1"/>
    <col min="3521" max="3525" width="8.83203125" style="39"/>
    <col min="3526" max="3533" width="9.1640625" style="39" bestFit="1" customWidth="1"/>
    <col min="3534" max="3535" width="8.83203125" style="39"/>
    <col min="3536" max="3536" width="11" style="39" bestFit="1" customWidth="1"/>
    <col min="3537" max="3541" width="8.83203125" style="39"/>
    <col min="3542" max="3549" width="9.1640625" style="39" bestFit="1" customWidth="1"/>
    <col min="3550" max="3551" width="8.83203125" style="39"/>
    <col min="3552" max="3552" width="11" style="39" bestFit="1" customWidth="1"/>
    <col min="3553" max="3557" width="8.83203125" style="39"/>
    <col min="3558" max="3565" width="9.1640625" style="39" bestFit="1" customWidth="1"/>
    <col min="3566" max="3567" width="8.83203125" style="39"/>
    <col min="3568" max="3568" width="11" style="39" bestFit="1" customWidth="1"/>
    <col min="3569" max="3573" width="8.83203125" style="39"/>
    <col min="3574" max="3581" width="9.1640625" style="39" bestFit="1" customWidth="1"/>
    <col min="3582" max="3583" width="8.83203125" style="39"/>
    <col min="3584" max="3584" width="11" style="39" bestFit="1" customWidth="1"/>
    <col min="3585" max="3589" width="8.83203125" style="39"/>
    <col min="3590" max="3597" width="9.1640625" style="39" bestFit="1" customWidth="1"/>
    <col min="3598" max="3599" width="8.83203125" style="39"/>
    <col min="3600" max="3600" width="11" style="39" bestFit="1" customWidth="1"/>
    <col min="3601" max="3605" width="8.83203125" style="39"/>
    <col min="3606" max="3613" width="9.1640625" style="39" bestFit="1" customWidth="1"/>
    <col min="3614" max="3615" width="8.83203125" style="39"/>
    <col min="3616" max="3616" width="11" style="39" bestFit="1" customWidth="1"/>
    <col min="3617" max="3621" width="8.83203125" style="39"/>
    <col min="3622" max="3629" width="9.1640625" style="39" bestFit="1" customWidth="1"/>
    <col min="3630" max="3631" width="8.83203125" style="39"/>
    <col min="3632" max="3632" width="11" style="39" bestFit="1" customWidth="1"/>
    <col min="3633" max="3637" width="8.83203125" style="39"/>
    <col min="3638" max="3645" width="9.1640625" style="39" bestFit="1" customWidth="1"/>
    <col min="3646" max="3647" width="8.83203125" style="39"/>
    <col min="3648" max="3648" width="11" style="39" bestFit="1" customWidth="1"/>
    <col min="3649" max="3653" width="8.83203125" style="39"/>
    <col min="3654" max="3661" width="9.1640625" style="39" bestFit="1" customWidth="1"/>
    <col min="3662" max="3663" width="8.83203125" style="39"/>
    <col min="3664" max="3664" width="11" style="39" bestFit="1" customWidth="1"/>
    <col min="3665" max="3669" width="8.83203125" style="39"/>
    <col min="3670" max="3677" width="9.1640625" style="39" bestFit="1" customWidth="1"/>
    <col min="3678" max="3679" width="8.83203125" style="39"/>
    <col min="3680" max="3680" width="11" style="39" bestFit="1" customWidth="1"/>
    <col min="3681" max="3685" width="8.83203125" style="39"/>
    <col min="3686" max="3693" width="9.1640625" style="39" bestFit="1" customWidth="1"/>
    <col min="3694" max="3695" width="8.83203125" style="39"/>
    <col min="3696" max="3696" width="11" style="39" bestFit="1" customWidth="1"/>
    <col min="3697" max="3701" width="8.83203125" style="39"/>
    <col min="3702" max="3709" width="9.1640625" style="39" bestFit="1" customWidth="1"/>
    <col min="3710" max="3711" width="8.83203125" style="39"/>
    <col min="3712" max="3712" width="11" style="39" bestFit="1" customWidth="1"/>
    <col min="3713" max="3717" width="8.83203125" style="39"/>
    <col min="3718" max="3725" width="9.1640625" style="39" bestFit="1" customWidth="1"/>
    <col min="3726" max="3727" width="8.83203125" style="39"/>
    <col min="3728" max="3728" width="11" style="39" bestFit="1" customWidth="1"/>
    <col min="3729" max="3733" width="8.83203125" style="39"/>
    <col min="3734" max="3741" width="9.1640625" style="39" bestFit="1" customWidth="1"/>
    <col min="3742" max="3743" width="8.83203125" style="39"/>
    <col min="3744" max="3744" width="11" style="39" bestFit="1" customWidth="1"/>
    <col min="3745" max="3749" width="8.83203125" style="39"/>
    <col min="3750" max="3757" width="9.1640625" style="39" bestFit="1" customWidth="1"/>
    <col min="3758" max="3759" width="8.83203125" style="39"/>
    <col min="3760" max="3760" width="11" style="39" bestFit="1" customWidth="1"/>
    <col min="3761" max="3765" width="8.83203125" style="39"/>
    <col min="3766" max="3773" width="9.1640625" style="39" bestFit="1" customWidth="1"/>
    <col min="3774" max="3775" width="8.83203125" style="39"/>
    <col min="3776" max="3776" width="11" style="39" bestFit="1" customWidth="1"/>
    <col min="3777" max="3781" width="8.83203125" style="39"/>
    <col min="3782" max="3789" width="9.1640625" style="39" bestFit="1" customWidth="1"/>
    <col min="3790" max="3791" width="8.83203125" style="39"/>
    <col min="3792" max="3792" width="11" style="39" bestFit="1" customWidth="1"/>
    <col min="3793" max="3797" width="8.83203125" style="39"/>
    <col min="3798" max="3805" width="9.1640625" style="39" bestFit="1" customWidth="1"/>
    <col min="3806" max="3807" width="8.83203125" style="39"/>
    <col min="3808" max="3808" width="11" style="39" bestFit="1" customWidth="1"/>
    <col min="3809" max="3813" width="8.83203125" style="39"/>
    <col min="3814" max="3821" width="9.1640625" style="39" bestFit="1" customWidth="1"/>
    <col min="3822" max="3823" width="8.83203125" style="39"/>
    <col min="3824" max="3824" width="11" style="39" bestFit="1" customWidth="1"/>
    <col min="3825" max="3829" width="8.83203125" style="39"/>
    <col min="3830" max="3837" width="9.1640625" style="39" bestFit="1" customWidth="1"/>
    <col min="3838" max="3839" width="8.83203125" style="39"/>
    <col min="3840" max="3840" width="11" style="39" bestFit="1" customWidth="1"/>
    <col min="3841" max="3845" width="8.83203125" style="39"/>
    <col min="3846" max="3853" width="9.1640625" style="39" bestFit="1" customWidth="1"/>
    <col min="3854" max="3855" width="8.83203125" style="39"/>
    <col min="3856" max="3856" width="11" style="39" bestFit="1" customWidth="1"/>
    <col min="3857" max="3861" width="8.83203125" style="39"/>
    <col min="3862" max="3869" width="9.1640625" style="39" bestFit="1" customWidth="1"/>
    <col min="3870" max="3871" width="8.83203125" style="39"/>
    <col min="3872" max="3872" width="11" style="39" bestFit="1" customWidth="1"/>
    <col min="3873" max="3877" width="8.83203125" style="39"/>
    <col min="3878" max="3885" width="9.1640625" style="39" bestFit="1" customWidth="1"/>
    <col min="3886" max="3887" width="8.83203125" style="39"/>
    <col min="3888" max="3888" width="11" style="39" bestFit="1" customWidth="1"/>
    <col min="3889" max="3893" width="8.83203125" style="39"/>
    <col min="3894" max="3901" width="9.1640625" style="39" bestFit="1" customWidth="1"/>
    <col min="3902" max="3903" width="8.83203125" style="39"/>
    <col min="3904" max="3904" width="11" style="39" bestFit="1" customWidth="1"/>
    <col min="3905" max="3909" width="8.83203125" style="39"/>
    <col min="3910" max="3917" width="9.1640625" style="39" bestFit="1" customWidth="1"/>
    <col min="3918" max="3919" width="8.83203125" style="39"/>
    <col min="3920" max="3920" width="11" style="39" bestFit="1" customWidth="1"/>
    <col min="3921" max="3925" width="8.83203125" style="39"/>
    <col min="3926" max="3933" width="9.1640625" style="39" bestFit="1" customWidth="1"/>
    <col min="3934" max="3935" width="8.83203125" style="39"/>
    <col min="3936" max="3936" width="11" style="39" bestFit="1" customWidth="1"/>
    <col min="3937" max="3941" width="8.83203125" style="39"/>
    <col min="3942" max="3949" width="9.1640625" style="39" bestFit="1" customWidth="1"/>
    <col min="3950" max="3951" width="8.83203125" style="39"/>
    <col min="3952" max="3952" width="11" style="39" bestFit="1" customWidth="1"/>
    <col min="3953" max="3957" width="8.83203125" style="39"/>
    <col min="3958" max="3965" width="9.1640625" style="39" bestFit="1" customWidth="1"/>
    <col min="3966" max="3967" width="8.83203125" style="39"/>
    <col min="3968" max="3968" width="11" style="39" bestFit="1" customWidth="1"/>
    <col min="3969" max="3973" width="8.83203125" style="39"/>
    <col min="3974" max="3981" width="9.1640625" style="39" bestFit="1" customWidth="1"/>
    <col min="3982" max="3983" width="8.83203125" style="39"/>
    <col min="3984" max="3984" width="11" style="39" bestFit="1" customWidth="1"/>
    <col min="3985" max="3989" width="8.83203125" style="39"/>
    <col min="3990" max="3997" width="9.1640625" style="39" bestFit="1" customWidth="1"/>
    <col min="3998" max="3999" width="8.83203125" style="39"/>
    <col min="4000" max="4000" width="11" style="39" bestFit="1" customWidth="1"/>
    <col min="4001" max="4005" width="8.83203125" style="39"/>
    <col min="4006" max="4013" width="9.1640625" style="39" bestFit="1" customWidth="1"/>
    <col min="4014" max="4015" width="8.83203125" style="39"/>
    <col min="4016" max="4016" width="11" style="39" bestFit="1" customWidth="1"/>
    <col min="4017" max="4021" width="8.83203125" style="39"/>
    <col min="4022" max="4029" width="9.1640625" style="39" bestFit="1" customWidth="1"/>
    <col min="4030" max="4031" width="8.83203125" style="39"/>
    <col min="4032" max="4032" width="11" style="39" bestFit="1" customWidth="1"/>
    <col min="4033" max="4037" width="8.83203125" style="39"/>
    <col min="4038" max="4045" width="9.1640625" style="39" bestFit="1" customWidth="1"/>
    <col min="4046" max="4047" width="8.83203125" style="39"/>
    <col min="4048" max="4048" width="11" style="39" bestFit="1" customWidth="1"/>
    <col min="4049" max="4053" width="8.83203125" style="39"/>
    <col min="4054" max="4061" width="9.1640625" style="39" bestFit="1" customWidth="1"/>
    <col min="4062" max="4063" width="8.83203125" style="39"/>
    <col min="4064" max="4064" width="11" style="39" bestFit="1" customWidth="1"/>
    <col min="4065" max="4069" width="8.83203125" style="39"/>
    <col min="4070" max="4077" width="9.1640625" style="39" bestFit="1" customWidth="1"/>
    <col min="4078" max="4079" width="8.83203125" style="39"/>
    <col min="4080" max="4080" width="11" style="39" bestFit="1" customWidth="1"/>
    <col min="4081" max="4085" width="8.83203125" style="39"/>
    <col min="4086" max="4093" width="9.1640625" style="39" bestFit="1" customWidth="1"/>
    <col min="4094" max="4095" width="8.83203125" style="39"/>
    <col min="4096" max="4096" width="11" style="39" bestFit="1" customWidth="1"/>
    <col min="4097" max="4101" width="8.83203125" style="39"/>
    <col min="4102" max="4109" width="9.1640625" style="39" bestFit="1" customWidth="1"/>
    <col min="4110" max="4111" width="8.83203125" style="39"/>
    <col min="4112" max="4112" width="11" style="39" bestFit="1" customWidth="1"/>
    <col min="4113" max="4117" width="8.83203125" style="39"/>
    <col min="4118" max="4125" width="9.1640625" style="39" bestFit="1" customWidth="1"/>
    <col min="4126" max="4127" width="8.83203125" style="39"/>
    <col min="4128" max="4128" width="11" style="39" bestFit="1" customWidth="1"/>
    <col min="4129" max="4133" width="8.83203125" style="39"/>
    <col min="4134" max="4141" width="9.1640625" style="39" bestFit="1" customWidth="1"/>
    <col min="4142" max="4143" width="8.83203125" style="39"/>
    <col min="4144" max="4144" width="11" style="39" bestFit="1" customWidth="1"/>
    <col min="4145" max="4149" width="8.83203125" style="39"/>
    <col min="4150" max="4157" width="9.1640625" style="39" bestFit="1" customWidth="1"/>
    <col min="4158" max="4159" width="8.83203125" style="39"/>
    <col min="4160" max="4160" width="11" style="39" bestFit="1" customWidth="1"/>
    <col min="4161" max="4165" width="8.83203125" style="39"/>
    <col min="4166" max="4173" width="9.1640625" style="39" bestFit="1" customWidth="1"/>
    <col min="4174" max="4175" width="8.83203125" style="39"/>
    <col min="4176" max="4176" width="11" style="39" bestFit="1" customWidth="1"/>
    <col min="4177" max="4181" width="8.83203125" style="39"/>
    <col min="4182" max="4189" width="9.1640625" style="39" bestFit="1" customWidth="1"/>
    <col min="4190" max="4191" width="8.83203125" style="39"/>
    <col min="4192" max="4192" width="11" style="39" bestFit="1" customWidth="1"/>
    <col min="4193" max="4197" width="8.83203125" style="39"/>
    <col min="4198" max="4205" width="9.1640625" style="39" bestFit="1" customWidth="1"/>
    <col min="4206" max="4207" width="8.83203125" style="39"/>
    <col min="4208" max="4208" width="11" style="39" bestFit="1" customWidth="1"/>
    <col min="4209" max="4213" width="8.83203125" style="39"/>
    <col min="4214" max="4221" width="9.1640625" style="39" bestFit="1" customWidth="1"/>
    <col min="4222" max="4223" width="8.83203125" style="39"/>
    <col min="4224" max="4224" width="11" style="39" bestFit="1" customWidth="1"/>
    <col min="4225" max="4229" width="8.83203125" style="39"/>
    <col min="4230" max="4237" width="9.1640625" style="39" bestFit="1" customWidth="1"/>
    <col min="4238" max="4239" width="8.83203125" style="39"/>
    <col min="4240" max="4240" width="11" style="39" bestFit="1" customWidth="1"/>
    <col min="4241" max="4245" width="8.83203125" style="39"/>
    <col min="4246" max="4253" width="9.1640625" style="39" bestFit="1" customWidth="1"/>
    <col min="4254" max="4255" width="8.83203125" style="39"/>
    <col min="4256" max="4256" width="11" style="39" bestFit="1" customWidth="1"/>
    <col min="4257" max="4261" width="8.83203125" style="39"/>
    <col min="4262" max="4269" width="9.1640625" style="39" bestFit="1" customWidth="1"/>
    <col min="4270" max="4271" width="8.83203125" style="39"/>
    <col min="4272" max="4272" width="11" style="39" bestFit="1" customWidth="1"/>
    <col min="4273" max="4277" width="8.83203125" style="39"/>
    <col min="4278" max="4285" width="9.1640625" style="39" bestFit="1" customWidth="1"/>
    <col min="4286" max="4287" width="8.83203125" style="39"/>
    <col min="4288" max="4288" width="11" style="39" bestFit="1" customWidth="1"/>
    <col min="4289" max="4293" width="8.83203125" style="39"/>
    <col min="4294" max="4301" width="9.1640625" style="39" bestFit="1" customWidth="1"/>
    <col min="4302" max="4303" width="8.83203125" style="39"/>
    <col min="4304" max="4304" width="11" style="39" bestFit="1" customWidth="1"/>
    <col min="4305" max="4309" width="8.83203125" style="39"/>
    <col min="4310" max="4317" width="9.1640625" style="39" bestFit="1" customWidth="1"/>
    <col min="4318" max="4319" width="8.83203125" style="39"/>
    <col min="4320" max="4320" width="11" style="39" bestFit="1" customWidth="1"/>
    <col min="4321" max="4325" width="8.83203125" style="39"/>
    <col min="4326" max="4333" width="9.1640625" style="39" bestFit="1" customWidth="1"/>
    <col min="4334" max="4335" width="8.83203125" style="39"/>
    <col min="4336" max="4336" width="11" style="39" bestFit="1" customWidth="1"/>
    <col min="4337" max="4341" width="8.83203125" style="39"/>
    <col min="4342" max="4349" width="9.1640625" style="39" bestFit="1" customWidth="1"/>
    <col min="4350" max="4351" width="8.83203125" style="39"/>
    <col min="4352" max="4352" width="11" style="39" bestFit="1" customWidth="1"/>
    <col min="4353" max="4357" width="8.83203125" style="39"/>
    <col min="4358" max="4365" width="9.1640625" style="39" bestFit="1" customWidth="1"/>
    <col min="4366" max="4367" width="8.83203125" style="39"/>
    <col min="4368" max="4368" width="11" style="39" bestFit="1" customWidth="1"/>
    <col min="4369" max="4373" width="8.83203125" style="39"/>
    <col min="4374" max="4381" width="9.1640625" style="39" bestFit="1" customWidth="1"/>
    <col min="4382" max="4383" width="8.83203125" style="39"/>
    <col min="4384" max="4384" width="11" style="39" bestFit="1" customWidth="1"/>
    <col min="4385" max="4389" width="8.83203125" style="39"/>
    <col min="4390" max="4397" width="9.1640625" style="39" bestFit="1" customWidth="1"/>
    <col min="4398" max="4399" width="8.83203125" style="39"/>
    <col min="4400" max="4400" width="11" style="39" bestFit="1" customWidth="1"/>
    <col min="4401" max="4405" width="8.83203125" style="39"/>
    <col min="4406" max="4413" width="9.1640625" style="39" bestFit="1" customWidth="1"/>
    <col min="4414" max="4415" width="8.83203125" style="39"/>
    <col min="4416" max="4416" width="11" style="39" bestFit="1" customWidth="1"/>
    <col min="4417" max="4421" width="8.83203125" style="39"/>
    <col min="4422" max="4429" width="9.1640625" style="39" bestFit="1" customWidth="1"/>
    <col min="4430" max="4431" width="8.83203125" style="39"/>
    <col min="4432" max="4432" width="11" style="39" bestFit="1" customWidth="1"/>
    <col min="4433" max="4437" width="8.83203125" style="39"/>
    <col min="4438" max="4445" width="9.1640625" style="39" bestFit="1" customWidth="1"/>
    <col min="4446" max="4447" width="8.83203125" style="39"/>
    <col min="4448" max="4448" width="11" style="39" bestFit="1" customWidth="1"/>
    <col min="4449" max="4453" width="8.83203125" style="39"/>
    <col min="4454" max="4461" width="9.1640625" style="39" bestFit="1" customWidth="1"/>
    <col min="4462" max="4463" width="8.83203125" style="39"/>
    <col min="4464" max="4464" width="11" style="39" bestFit="1" customWidth="1"/>
    <col min="4465" max="4469" width="8.83203125" style="39"/>
    <col min="4470" max="4477" width="9.1640625" style="39" bestFit="1" customWidth="1"/>
    <col min="4478" max="4479" width="8.83203125" style="39"/>
    <col min="4480" max="4480" width="11" style="39" bestFit="1" customWidth="1"/>
    <col min="4481" max="4485" width="8.83203125" style="39"/>
    <col min="4486" max="4493" width="9.1640625" style="39" bestFit="1" customWidth="1"/>
    <col min="4494" max="4495" width="8.83203125" style="39"/>
    <col min="4496" max="4496" width="11" style="39" bestFit="1" customWidth="1"/>
    <col min="4497" max="4501" width="8.83203125" style="39"/>
    <col min="4502" max="4509" width="9.1640625" style="39" bestFit="1" customWidth="1"/>
    <col min="4510" max="4511" width="8.83203125" style="39"/>
    <col min="4512" max="4512" width="11" style="39" bestFit="1" customWidth="1"/>
    <col min="4513" max="4517" width="8.83203125" style="39"/>
    <col min="4518" max="4525" width="9.1640625" style="39" bestFit="1" customWidth="1"/>
    <col min="4526" max="4527" width="8.83203125" style="39"/>
    <col min="4528" max="4528" width="11" style="39" bestFit="1" customWidth="1"/>
    <col min="4529" max="4533" width="8.83203125" style="39"/>
    <col min="4534" max="4541" width="9.1640625" style="39" bestFit="1" customWidth="1"/>
    <col min="4542" max="4543" width="8.83203125" style="39"/>
    <col min="4544" max="4544" width="11" style="39" bestFit="1" customWidth="1"/>
    <col min="4545" max="4549" width="8.83203125" style="39"/>
    <col min="4550" max="4557" width="9.1640625" style="39" bestFit="1" customWidth="1"/>
    <col min="4558" max="4559" width="8.83203125" style="39"/>
    <col min="4560" max="4560" width="11" style="39" bestFit="1" customWidth="1"/>
    <col min="4561" max="4565" width="8.83203125" style="39"/>
    <col min="4566" max="4573" width="9.1640625" style="39" bestFit="1" customWidth="1"/>
    <col min="4574" max="4575" width="8.83203125" style="39"/>
    <col min="4576" max="4576" width="11" style="39" bestFit="1" customWidth="1"/>
    <col min="4577" max="4581" width="8.83203125" style="39"/>
    <col min="4582" max="4589" width="9.1640625" style="39" bestFit="1" customWidth="1"/>
    <col min="4590" max="4591" width="8.83203125" style="39"/>
    <col min="4592" max="4592" width="11" style="39" bestFit="1" customWidth="1"/>
    <col min="4593" max="4597" width="8.83203125" style="39"/>
    <col min="4598" max="4605" width="9.1640625" style="39" bestFit="1" customWidth="1"/>
    <col min="4606" max="4607" width="8.83203125" style="39"/>
    <col min="4608" max="4608" width="11" style="39" bestFit="1" customWidth="1"/>
    <col min="4609" max="4613" width="8.83203125" style="39"/>
    <col min="4614" max="4621" width="9.1640625" style="39" bestFit="1" customWidth="1"/>
    <col min="4622" max="4623" width="8.83203125" style="39"/>
    <col min="4624" max="4624" width="11" style="39" bestFit="1" customWidth="1"/>
    <col min="4625" max="4629" width="8.83203125" style="39"/>
    <col min="4630" max="4637" width="9.1640625" style="39" bestFit="1" customWidth="1"/>
    <col min="4638" max="4639" width="8.83203125" style="39"/>
    <col min="4640" max="4640" width="11" style="39" bestFit="1" customWidth="1"/>
    <col min="4641" max="4645" width="8.83203125" style="39"/>
    <col min="4646" max="4653" width="9.1640625" style="39" bestFit="1" customWidth="1"/>
    <col min="4654" max="4655" width="8.83203125" style="39"/>
    <col min="4656" max="4656" width="11" style="39" bestFit="1" customWidth="1"/>
    <col min="4657" max="4661" width="8.83203125" style="39"/>
    <col min="4662" max="4669" width="9.1640625" style="39" bestFit="1" customWidth="1"/>
    <col min="4670" max="4671" width="8.83203125" style="39"/>
    <col min="4672" max="4672" width="11" style="39" bestFit="1" customWidth="1"/>
    <col min="4673" max="4677" width="8.83203125" style="39"/>
    <col min="4678" max="4685" width="9.1640625" style="39" bestFit="1" customWidth="1"/>
    <col min="4686" max="4687" width="8.83203125" style="39"/>
    <col min="4688" max="4688" width="11" style="39" bestFit="1" customWidth="1"/>
    <col min="4689" max="4693" width="8.83203125" style="39"/>
    <col min="4694" max="4701" width="9.1640625" style="39" bestFit="1" customWidth="1"/>
    <col min="4702" max="4703" width="8.83203125" style="39"/>
    <col min="4704" max="4704" width="11" style="39" bestFit="1" customWidth="1"/>
    <col min="4705" max="4709" width="8.83203125" style="39"/>
    <col min="4710" max="4717" width="9.1640625" style="39" bestFit="1" customWidth="1"/>
    <col min="4718" max="4719" width="8.83203125" style="39"/>
    <col min="4720" max="4720" width="11" style="39" bestFit="1" customWidth="1"/>
    <col min="4721" max="4725" width="8.83203125" style="39"/>
    <col min="4726" max="4733" width="9.1640625" style="39" bestFit="1" customWidth="1"/>
    <col min="4734" max="4735" width="8.83203125" style="39"/>
    <col min="4736" max="4736" width="11" style="39" bestFit="1" customWidth="1"/>
    <col min="4737" max="4741" width="8.83203125" style="39"/>
    <col min="4742" max="4749" width="9.1640625" style="39" bestFit="1" customWidth="1"/>
    <col min="4750" max="4751" width="8.83203125" style="39"/>
    <col min="4752" max="4752" width="11" style="39" bestFit="1" customWidth="1"/>
    <col min="4753" max="4757" width="8.83203125" style="39"/>
    <col min="4758" max="4765" width="9.1640625" style="39" bestFit="1" customWidth="1"/>
    <col min="4766" max="4767" width="8.83203125" style="39"/>
    <col min="4768" max="4768" width="11" style="39" bestFit="1" customWidth="1"/>
    <col min="4769" max="4773" width="8.83203125" style="39"/>
    <col min="4774" max="4781" width="9.1640625" style="39" bestFit="1" customWidth="1"/>
    <col min="4782" max="4783" width="8.83203125" style="39"/>
    <col min="4784" max="4784" width="11" style="39" bestFit="1" customWidth="1"/>
    <col min="4785" max="4789" width="8.83203125" style="39"/>
    <col min="4790" max="4797" width="9.1640625" style="39" bestFit="1" customWidth="1"/>
    <col min="4798" max="4799" width="8.83203125" style="39"/>
    <col min="4800" max="4800" width="11" style="39" bestFit="1" customWidth="1"/>
    <col min="4801" max="4805" width="8.83203125" style="39"/>
    <col min="4806" max="4813" width="9.1640625" style="39" bestFit="1" customWidth="1"/>
    <col min="4814" max="4815" width="8.83203125" style="39"/>
    <col min="4816" max="4816" width="11" style="39" bestFit="1" customWidth="1"/>
    <col min="4817" max="4821" width="8.83203125" style="39"/>
    <col min="4822" max="4829" width="9.1640625" style="39" bestFit="1" customWidth="1"/>
    <col min="4830" max="4831" width="8.83203125" style="39"/>
    <col min="4832" max="4832" width="11" style="39" bestFit="1" customWidth="1"/>
    <col min="4833" max="4837" width="8.83203125" style="39"/>
    <col min="4838" max="4845" width="9.1640625" style="39" bestFit="1" customWidth="1"/>
    <col min="4846" max="4847" width="8.83203125" style="39"/>
    <col min="4848" max="4848" width="11" style="39" bestFit="1" customWidth="1"/>
    <col min="4849" max="4853" width="8.83203125" style="39"/>
    <col min="4854" max="4861" width="9.1640625" style="39" bestFit="1" customWidth="1"/>
    <col min="4862" max="4863" width="8.83203125" style="39"/>
    <col min="4864" max="4864" width="11" style="39" bestFit="1" customWidth="1"/>
    <col min="4865" max="4869" width="8.83203125" style="39"/>
    <col min="4870" max="4877" width="9.1640625" style="39" bestFit="1" customWidth="1"/>
    <col min="4878" max="4879" width="8.83203125" style="39"/>
    <col min="4880" max="4880" width="11" style="39" bestFit="1" customWidth="1"/>
    <col min="4881" max="4885" width="8.83203125" style="39"/>
    <col min="4886" max="4893" width="9.1640625" style="39" bestFit="1" customWidth="1"/>
    <col min="4894" max="4895" width="8.83203125" style="39"/>
    <col min="4896" max="4896" width="11" style="39" bestFit="1" customWidth="1"/>
    <col min="4897" max="4901" width="8.83203125" style="39"/>
    <col min="4902" max="4909" width="9.1640625" style="39" bestFit="1" customWidth="1"/>
    <col min="4910" max="4911" width="8.83203125" style="39"/>
    <col min="4912" max="4912" width="11" style="39" bestFit="1" customWidth="1"/>
    <col min="4913" max="4917" width="8.83203125" style="39"/>
    <col min="4918" max="4925" width="9.1640625" style="39" bestFit="1" customWidth="1"/>
    <col min="4926" max="4927" width="8.83203125" style="39"/>
    <col min="4928" max="4928" width="11" style="39" bestFit="1" customWidth="1"/>
    <col min="4929" max="4933" width="8.83203125" style="39"/>
    <col min="4934" max="4941" width="9.1640625" style="39" bestFit="1" customWidth="1"/>
    <col min="4942" max="4943" width="8.83203125" style="39"/>
    <col min="4944" max="4944" width="11" style="39" bestFit="1" customWidth="1"/>
    <col min="4945" max="4949" width="8.83203125" style="39"/>
    <col min="4950" max="4957" width="9.1640625" style="39" bestFit="1" customWidth="1"/>
    <col min="4958" max="4959" width="8.83203125" style="39"/>
    <col min="4960" max="4960" width="11" style="39" bestFit="1" customWidth="1"/>
    <col min="4961" max="4965" width="8.83203125" style="39"/>
    <col min="4966" max="4973" width="9.1640625" style="39" bestFit="1" customWidth="1"/>
    <col min="4974" max="4975" width="8.83203125" style="39"/>
    <col min="4976" max="4976" width="11" style="39" bestFit="1" customWidth="1"/>
    <col min="4977" max="4981" width="8.83203125" style="39"/>
    <col min="4982" max="4989" width="9.1640625" style="39" bestFit="1" customWidth="1"/>
    <col min="4990" max="4991" width="8.83203125" style="39"/>
    <col min="4992" max="4992" width="11" style="39" bestFit="1" customWidth="1"/>
    <col min="4993" max="4997" width="8.83203125" style="39"/>
    <col min="4998" max="5005" width="9.1640625" style="39" bestFit="1" customWidth="1"/>
    <col min="5006" max="5007" width="8.83203125" style="39"/>
    <col min="5008" max="5008" width="11" style="39" bestFit="1" customWidth="1"/>
    <col min="5009" max="5013" width="8.83203125" style="39"/>
    <col min="5014" max="5021" width="9.1640625" style="39" bestFit="1" customWidth="1"/>
    <col min="5022" max="5023" width="8.83203125" style="39"/>
    <col min="5024" max="5024" width="11" style="39" bestFit="1" customWidth="1"/>
    <col min="5025" max="5029" width="8.83203125" style="39"/>
    <col min="5030" max="5037" width="9.1640625" style="39" bestFit="1" customWidth="1"/>
    <col min="5038" max="5039" width="8.83203125" style="39"/>
    <col min="5040" max="5040" width="11" style="39" bestFit="1" customWidth="1"/>
    <col min="5041" max="5045" width="8.83203125" style="39"/>
    <col min="5046" max="5053" width="9.1640625" style="39" bestFit="1" customWidth="1"/>
    <col min="5054" max="5055" width="8.83203125" style="39"/>
    <col min="5056" max="5056" width="11" style="39" bestFit="1" customWidth="1"/>
    <col min="5057" max="5061" width="8.83203125" style="39"/>
    <col min="5062" max="5069" width="9.1640625" style="39" bestFit="1" customWidth="1"/>
    <col min="5070" max="5071" width="8.83203125" style="39"/>
    <col min="5072" max="5072" width="11" style="39" bestFit="1" customWidth="1"/>
    <col min="5073" max="5077" width="8.83203125" style="39"/>
    <col min="5078" max="5085" width="9.1640625" style="39" bestFit="1" customWidth="1"/>
    <col min="5086" max="5087" width="8.83203125" style="39"/>
    <col min="5088" max="5088" width="11" style="39" bestFit="1" customWidth="1"/>
    <col min="5089" max="5093" width="8.83203125" style="39"/>
    <col min="5094" max="5101" width="9.1640625" style="39" bestFit="1" customWidth="1"/>
    <col min="5102" max="5103" width="8.83203125" style="39"/>
    <col min="5104" max="5104" width="11" style="39" bestFit="1" customWidth="1"/>
    <col min="5105" max="5109" width="8.83203125" style="39"/>
    <col min="5110" max="5117" width="9.1640625" style="39" bestFit="1" customWidth="1"/>
    <col min="5118" max="5119" width="8.83203125" style="39"/>
    <col min="5120" max="5120" width="11" style="39" bestFit="1" customWidth="1"/>
    <col min="5121" max="5125" width="8.83203125" style="39"/>
    <col min="5126" max="5133" width="9.1640625" style="39" bestFit="1" customWidth="1"/>
    <col min="5134" max="5135" width="8.83203125" style="39"/>
    <col min="5136" max="5136" width="11" style="39" bestFit="1" customWidth="1"/>
    <col min="5137" max="5141" width="8.83203125" style="39"/>
    <col min="5142" max="5149" width="9.1640625" style="39" bestFit="1" customWidth="1"/>
    <col min="5150" max="5151" width="8.83203125" style="39"/>
    <col min="5152" max="5152" width="11" style="39" bestFit="1" customWidth="1"/>
    <col min="5153" max="5157" width="8.83203125" style="39"/>
    <col min="5158" max="5165" width="9.1640625" style="39" bestFit="1" customWidth="1"/>
    <col min="5166" max="5167" width="8.83203125" style="39"/>
    <col min="5168" max="5168" width="11" style="39" bestFit="1" customWidth="1"/>
    <col min="5169" max="5173" width="8.83203125" style="39"/>
    <col min="5174" max="5181" width="9.1640625" style="39" bestFit="1" customWidth="1"/>
    <col min="5182" max="5183" width="8.83203125" style="39"/>
    <col min="5184" max="5184" width="11" style="39" bestFit="1" customWidth="1"/>
    <col min="5185" max="5189" width="8.83203125" style="39"/>
    <col min="5190" max="5197" width="9.1640625" style="39" bestFit="1" customWidth="1"/>
    <col min="5198" max="5199" width="8.83203125" style="39"/>
    <col min="5200" max="5200" width="11" style="39" bestFit="1" customWidth="1"/>
    <col min="5201" max="5205" width="8.83203125" style="39"/>
    <col min="5206" max="5213" width="9.1640625" style="39" bestFit="1" customWidth="1"/>
    <col min="5214" max="5215" width="8.83203125" style="39"/>
    <col min="5216" max="5216" width="11" style="39" bestFit="1" customWidth="1"/>
    <col min="5217" max="5221" width="8.83203125" style="39"/>
    <col min="5222" max="5229" width="9.1640625" style="39" bestFit="1" customWidth="1"/>
    <col min="5230" max="5231" width="8.83203125" style="39"/>
    <col min="5232" max="5232" width="11" style="39" bestFit="1" customWidth="1"/>
    <col min="5233" max="5237" width="8.83203125" style="39"/>
    <col min="5238" max="5245" width="9.1640625" style="39" bestFit="1" customWidth="1"/>
    <col min="5246" max="5247" width="8.83203125" style="39"/>
    <col min="5248" max="5248" width="11" style="39" bestFit="1" customWidth="1"/>
    <col min="5249" max="5253" width="8.83203125" style="39"/>
    <col min="5254" max="5261" width="9.1640625" style="39" bestFit="1" customWidth="1"/>
    <col min="5262" max="5263" width="8.83203125" style="39"/>
    <col min="5264" max="5264" width="11" style="39" bestFit="1" customWidth="1"/>
    <col min="5265" max="5269" width="8.83203125" style="39"/>
    <col min="5270" max="5277" width="9.1640625" style="39" bestFit="1" customWidth="1"/>
    <col min="5278" max="5279" width="8.83203125" style="39"/>
    <col min="5280" max="5280" width="11" style="39" bestFit="1" customWidth="1"/>
    <col min="5281" max="5285" width="8.83203125" style="39"/>
    <col min="5286" max="5293" width="9.1640625" style="39" bestFit="1" customWidth="1"/>
    <col min="5294" max="5295" width="8.83203125" style="39"/>
    <col min="5296" max="5296" width="11" style="39" bestFit="1" customWidth="1"/>
    <col min="5297" max="5301" width="8.83203125" style="39"/>
    <col min="5302" max="5309" width="9.1640625" style="39" bestFit="1" customWidth="1"/>
    <col min="5310" max="5311" width="8.83203125" style="39"/>
    <col min="5312" max="5312" width="11" style="39" bestFit="1" customWidth="1"/>
    <col min="5313" max="5317" width="8.83203125" style="39"/>
    <col min="5318" max="5325" width="9.1640625" style="39" bestFit="1" customWidth="1"/>
    <col min="5326" max="5327" width="8.83203125" style="39"/>
    <col min="5328" max="5328" width="11" style="39" bestFit="1" customWidth="1"/>
    <col min="5329" max="5333" width="8.83203125" style="39"/>
    <col min="5334" max="5341" width="9.1640625" style="39" bestFit="1" customWidth="1"/>
    <col min="5342" max="5343" width="8.83203125" style="39"/>
    <col min="5344" max="5344" width="11" style="39" bestFit="1" customWidth="1"/>
    <col min="5345" max="5349" width="8.83203125" style="39"/>
    <col min="5350" max="5357" width="9.1640625" style="39" bestFit="1" customWidth="1"/>
    <col min="5358" max="5359" width="8.83203125" style="39"/>
    <col min="5360" max="5360" width="11" style="39" bestFit="1" customWidth="1"/>
    <col min="5361" max="5365" width="8.83203125" style="39"/>
    <col min="5366" max="5373" width="9.1640625" style="39" bestFit="1" customWidth="1"/>
    <col min="5374" max="5375" width="8.83203125" style="39"/>
    <col min="5376" max="5376" width="11" style="39" bestFit="1" customWidth="1"/>
    <col min="5377" max="5381" width="8.83203125" style="39"/>
    <col min="5382" max="5389" width="9.1640625" style="39" bestFit="1" customWidth="1"/>
    <col min="5390" max="5391" width="8.83203125" style="39"/>
    <col min="5392" max="5392" width="11" style="39" bestFit="1" customWidth="1"/>
    <col min="5393" max="5397" width="8.83203125" style="39"/>
    <col min="5398" max="5405" width="9.1640625" style="39" bestFit="1" customWidth="1"/>
    <col min="5406" max="5407" width="8.83203125" style="39"/>
    <col min="5408" max="5408" width="11" style="39" bestFit="1" customWidth="1"/>
    <col min="5409" max="5413" width="8.83203125" style="39"/>
    <col min="5414" max="5421" width="9.1640625" style="39" bestFit="1" customWidth="1"/>
    <col min="5422" max="5423" width="8.83203125" style="39"/>
    <col min="5424" max="5424" width="11" style="39" bestFit="1" customWidth="1"/>
    <col min="5425" max="5429" width="8.83203125" style="39"/>
    <col min="5430" max="5437" width="9.1640625" style="39" bestFit="1" customWidth="1"/>
    <col min="5438" max="5439" width="8.83203125" style="39"/>
    <col min="5440" max="5440" width="11" style="39" bestFit="1" customWidth="1"/>
    <col min="5441" max="5445" width="8.83203125" style="39"/>
    <col min="5446" max="5453" width="9.1640625" style="39" bestFit="1" customWidth="1"/>
    <col min="5454" max="5455" width="8.83203125" style="39"/>
    <col min="5456" max="5456" width="11" style="39" bestFit="1" customWidth="1"/>
    <col min="5457" max="5461" width="8.83203125" style="39"/>
    <col min="5462" max="5469" width="9.1640625" style="39" bestFit="1" customWidth="1"/>
    <col min="5470" max="5471" width="8.83203125" style="39"/>
    <col min="5472" max="5472" width="11" style="39" bestFit="1" customWidth="1"/>
    <col min="5473" max="5477" width="8.83203125" style="39"/>
    <col min="5478" max="5485" width="9.1640625" style="39" bestFit="1" customWidth="1"/>
    <col min="5486" max="5487" width="8.83203125" style="39"/>
    <col min="5488" max="5488" width="11" style="39" bestFit="1" customWidth="1"/>
    <col min="5489" max="5493" width="8.83203125" style="39"/>
    <col min="5494" max="5501" width="9.1640625" style="39" bestFit="1" customWidth="1"/>
    <col min="5502" max="5503" width="8.83203125" style="39"/>
    <col min="5504" max="5504" width="11" style="39" bestFit="1" customWidth="1"/>
    <col min="5505" max="5509" width="8.83203125" style="39"/>
    <col min="5510" max="5517" width="9.1640625" style="39" bestFit="1" customWidth="1"/>
    <col min="5518" max="5519" width="8.83203125" style="39"/>
    <col min="5520" max="5520" width="11" style="39" bestFit="1" customWidth="1"/>
    <col min="5521" max="5525" width="8.83203125" style="39"/>
    <col min="5526" max="5533" width="9.1640625" style="39" bestFit="1" customWidth="1"/>
    <col min="5534" max="5535" width="8.83203125" style="39"/>
    <col min="5536" max="5536" width="11" style="39" bestFit="1" customWidth="1"/>
    <col min="5537" max="5541" width="8.83203125" style="39"/>
    <col min="5542" max="5549" width="9.1640625" style="39" bestFit="1" customWidth="1"/>
    <col min="5550" max="5551" width="8.83203125" style="39"/>
    <col min="5552" max="5552" width="11" style="39" bestFit="1" customWidth="1"/>
    <col min="5553" max="5557" width="8.83203125" style="39"/>
    <col min="5558" max="5565" width="9.1640625" style="39" bestFit="1" customWidth="1"/>
    <col min="5566" max="5567" width="8.83203125" style="39"/>
    <col min="5568" max="5568" width="11" style="39" bestFit="1" customWidth="1"/>
    <col min="5569" max="5573" width="8.83203125" style="39"/>
    <col min="5574" max="5581" width="9.1640625" style="39" bestFit="1" customWidth="1"/>
    <col min="5582" max="5583" width="8.83203125" style="39"/>
    <col min="5584" max="5584" width="11" style="39" bestFit="1" customWidth="1"/>
    <col min="5585" max="5589" width="8.83203125" style="39"/>
    <col min="5590" max="5597" width="9.1640625" style="39" bestFit="1" customWidth="1"/>
    <col min="5598" max="5599" width="8.83203125" style="39"/>
    <col min="5600" max="5600" width="11" style="39" bestFit="1" customWidth="1"/>
    <col min="5601" max="5605" width="8.83203125" style="39"/>
    <col min="5606" max="5613" width="9.1640625" style="39" bestFit="1" customWidth="1"/>
    <col min="5614" max="5615" width="8.83203125" style="39"/>
    <col min="5616" max="5616" width="11" style="39" bestFit="1" customWidth="1"/>
    <col min="5617" max="5621" width="8.83203125" style="39"/>
    <col min="5622" max="5629" width="9.1640625" style="39" bestFit="1" customWidth="1"/>
    <col min="5630" max="5631" width="8.83203125" style="39"/>
    <col min="5632" max="5632" width="11" style="39" bestFit="1" customWidth="1"/>
    <col min="5633" max="5637" width="8.83203125" style="39"/>
    <col min="5638" max="5645" width="9.1640625" style="39" bestFit="1" customWidth="1"/>
    <col min="5646" max="5647" width="8.83203125" style="39"/>
    <col min="5648" max="5648" width="11" style="39" bestFit="1" customWidth="1"/>
    <col min="5649" max="5653" width="8.83203125" style="39"/>
    <col min="5654" max="5661" width="9.1640625" style="39" bestFit="1" customWidth="1"/>
    <col min="5662" max="5663" width="8.83203125" style="39"/>
    <col min="5664" max="5664" width="11" style="39" bestFit="1" customWidth="1"/>
    <col min="5665" max="5669" width="8.83203125" style="39"/>
    <col min="5670" max="5677" width="9.1640625" style="39" bestFit="1" customWidth="1"/>
    <col min="5678" max="5679" width="8.83203125" style="39"/>
    <col min="5680" max="5680" width="11" style="39" bestFit="1" customWidth="1"/>
    <col min="5681" max="5685" width="8.83203125" style="39"/>
    <col min="5686" max="5693" width="9.1640625" style="39" bestFit="1" customWidth="1"/>
    <col min="5694" max="5695" width="8.83203125" style="39"/>
    <col min="5696" max="5696" width="11" style="39" bestFit="1" customWidth="1"/>
    <col min="5697" max="5701" width="8.83203125" style="39"/>
    <col min="5702" max="5709" width="9.1640625" style="39" bestFit="1" customWidth="1"/>
    <col min="5710" max="5711" width="8.83203125" style="39"/>
    <col min="5712" max="5712" width="11" style="39" bestFit="1" customWidth="1"/>
    <col min="5713" max="5717" width="8.83203125" style="39"/>
    <col min="5718" max="5725" width="9.1640625" style="39" bestFit="1" customWidth="1"/>
    <col min="5726" max="5727" width="8.83203125" style="39"/>
    <col min="5728" max="5728" width="11" style="39" bestFit="1" customWidth="1"/>
    <col min="5729" max="5733" width="8.83203125" style="39"/>
    <col min="5734" max="5741" width="9.1640625" style="39" bestFit="1" customWidth="1"/>
    <col min="5742" max="5743" width="8.83203125" style="39"/>
    <col min="5744" max="5744" width="11" style="39" bestFit="1" customWidth="1"/>
    <col min="5745" max="5749" width="8.83203125" style="39"/>
    <col min="5750" max="5757" width="9.1640625" style="39" bestFit="1" customWidth="1"/>
    <col min="5758" max="5759" width="8.83203125" style="39"/>
    <col min="5760" max="5760" width="11" style="39" bestFit="1" customWidth="1"/>
    <col min="5761" max="5765" width="8.83203125" style="39"/>
    <col min="5766" max="5773" width="9.1640625" style="39" bestFit="1" customWidth="1"/>
    <col min="5774" max="5775" width="8.83203125" style="39"/>
    <col min="5776" max="5776" width="11" style="39" bestFit="1" customWidth="1"/>
    <col min="5777" max="5781" width="8.83203125" style="39"/>
    <col min="5782" max="5789" width="9.1640625" style="39" bestFit="1" customWidth="1"/>
    <col min="5790" max="5791" width="8.83203125" style="39"/>
    <col min="5792" max="5792" width="11" style="39" bestFit="1" customWidth="1"/>
    <col min="5793" max="5797" width="8.83203125" style="39"/>
    <col min="5798" max="5805" width="9.1640625" style="39" bestFit="1" customWidth="1"/>
    <col min="5806" max="5807" width="8.83203125" style="39"/>
    <col min="5808" max="5808" width="11" style="39" bestFit="1" customWidth="1"/>
    <col min="5809" max="5813" width="8.83203125" style="39"/>
    <col min="5814" max="5821" width="9.1640625" style="39" bestFit="1" customWidth="1"/>
    <col min="5822" max="5823" width="8.83203125" style="39"/>
    <col min="5824" max="5824" width="11" style="39" bestFit="1" customWidth="1"/>
    <col min="5825" max="5829" width="8.83203125" style="39"/>
    <col min="5830" max="5837" width="9.1640625" style="39" bestFit="1" customWidth="1"/>
    <col min="5838" max="5839" width="8.83203125" style="39"/>
    <col min="5840" max="5840" width="11" style="39" bestFit="1" customWidth="1"/>
    <col min="5841" max="5845" width="8.83203125" style="39"/>
    <col min="5846" max="5853" width="9.1640625" style="39" bestFit="1" customWidth="1"/>
    <col min="5854" max="5855" width="8.83203125" style="39"/>
    <col min="5856" max="5856" width="11" style="39" bestFit="1" customWidth="1"/>
    <col min="5857" max="5861" width="8.83203125" style="39"/>
    <col min="5862" max="5869" width="9.1640625" style="39" bestFit="1" customWidth="1"/>
    <col min="5870" max="5871" width="8.83203125" style="39"/>
    <col min="5872" max="5872" width="11" style="39" bestFit="1" customWidth="1"/>
    <col min="5873" max="5877" width="8.83203125" style="39"/>
    <col min="5878" max="5885" width="9.1640625" style="39" bestFit="1" customWidth="1"/>
    <col min="5886" max="5887" width="8.83203125" style="39"/>
    <col min="5888" max="5888" width="11" style="39" bestFit="1" customWidth="1"/>
    <col min="5889" max="5893" width="8.83203125" style="39"/>
    <col min="5894" max="5901" width="9.1640625" style="39" bestFit="1" customWidth="1"/>
    <col min="5902" max="5903" width="8.83203125" style="39"/>
    <col min="5904" max="5904" width="11" style="39" bestFit="1" customWidth="1"/>
    <col min="5905" max="5909" width="8.83203125" style="39"/>
    <col min="5910" max="5917" width="9.1640625" style="39" bestFit="1" customWidth="1"/>
    <col min="5918" max="5919" width="8.83203125" style="39"/>
    <col min="5920" max="5920" width="11" style="39" bestFit="1" customWidth="1"/>
    <col min="5921" max="5925" width="8.83203125" style="39"/>
    <col min="5926" max="5933" width="9.1640625" style="39" bestFit="1" customWidth="1"/>
    <col min="5934" max="5935" width="8.83203125" style="39"/>
    <col min="5936" max="5936" width="11" style="39" bestFit="1" customWidth="1"/>
    <col min="5937" max="5941" width="8.83203125" style="39"/>
    <col min="5942" max="5949" width="9.1640625" style="39" bestFit="1" customWidth="1"/>
    <col min="5950" max="5951" width="8.83203125" style="39"/>
    <col min="5952" max="5952" width="11" style="39" bestFit="1" customWidth="1"/>
    <col min="5953" max="5957" width="8.83203125" style="39"/>
    <col min="5958" max="5965" width="9.1640625" style="39" bestFit="1" customWidth="1"/>
    <col min="5966" max="5967" width="8.83203125" style="39"/>
    <col min="5968" max="5968" width="11" style="39" bestFit="1" customWidth="1"/>
    <col min="5969" max="5973" width="8.83203125" style="39"/>
    <col min="5974" max="5981" width="9.1640625" style="39" bestFit="1" customWidth="1"/>
    <col min="5982" max="5983" width="8.83203125" style="39"/>
    <col min="5984" max="5984" width="11" style="39" bestFit="1" customWidth="1"/>
    <col min="5985" max="5989" width="8.83203125" style="39"/>
    <col min="5990" max="5997" width="9.1640625" style="39" bestFit="1" customWidth="1"/>
    <col min="5998" max="5999" width="8.83203125" style="39"/>
    <col min="6000" max="6000" width="11" style="39" bestFit="1" customWidth="1"/>
    <col min="6001" max="6005" width="8.83203125" style="39"/>
    <col min="6006" max="6013" width="9.1640625" style="39" bestFit="1" customWidth="1"/>
    <col min="6014" max="6015" width="8.83203125" style="39"/>
    <col min="6016" max="6016" width="11" style="39" bestFit="1" customWidth="1"/>
    <col min="6017" max="6021" width="8.83203125" style="39"/>
    <col min="6022" max="6029" width="9.1640625" style="39" bestFit="1" customWidth="1"/>
    <col min="6030" max="6031" width="8.83203125" style="39"/>
    <col min="6032" max="6032" width="11" style="39" bestFit="1" customWidth="1"/>
    <col min="6033" max="6037" width="8.83203125" style="39"/>
    <col min="6038" max="6045" width="9.1640625" style="39" bestFit="1" customWidth="1"/>
    <col min="6046" max="6047" width="8.83203125" style="39"/>
    <col min="6048" max="6048" width="11" style="39" bestFit="1" customWidth="1"/>
    <col min="6049" max="6053" width="8.83203125" style="39"/>
    <col min="6054" max="6061" width="9.1640625" style="39" bestFit="1" customWidth="1"/>
    <col min="6062" max="6063" width="8.83203125" style="39"/>
    <col min="6064" max="6064" width="11" style="39" bestFit="1" customWidth="1"/>
    <col min="6065" max="6069" width="8.83203125" style="39"/>
    <col min="6070" max="6077" width="9.1640625" style="39" bestFit="1" customWidth="1"/>
    <col min="6078" max="6079" width="8.83203125" style="39"/>
    <col min="6080" max="6080" width="11" style="39" bestFit="1" customWidth="1"/>
    <col min="6081" max="6085" width="8.83203125" style="39"/>
    <col min="6086" max="6093" width="9.1640625" style="39" bestFit="1" customWidth="1"/>
    <col min="6094" max="6095" width="8.83203125" style="39"/>
    <col min="6096" max="6096" width="11" style="39" bestFit="1" customWidth="1"/>
    <col min="6097" max="6101" width="8.83203125" style="39"/>
    <col min="6102" max="6109" width="9.1640625" style="39" bestFit="1" customWidth="1"/>
    <col min="6110" max="6111" width="8.83203125" style="39"/>
    <col min="6112" max="6112" width="11" style="39" bestFit="1" customWidth="1"/>
    <col min="6113" max="6117" width="8.83203125" style="39"/>
    <col min="6118" max="6125" width="9.1640625" style="39" bestFit="1" customWidth="1"/>
    <col min="6126" max="6127" width="8.83203125" style="39"/>
    <col min="6128" max="6128" width="11" style="39" bestFit="1" customWidth="1"/>
    <col min="6129" max="6133" width="8.83203125" style="39"/>
    <col min="6134" max="6141" width="9.1640625" style="39" bestFit="1" customWidth="1"/>
    <col min="6142" max="6143" width="8.83203125" style="39"/>
    <col min="6144" max="6144" width="11" style="39" bestFit="1" customWidth="1"/>
    <col min="6145" max="6149" width="8.83203125" style="39"/>
    <col min="6150" max="6157" width="9.1640625" style="39" bestFit="1" customWidth="1"/>
    <col min="6158" max="6159" width="8.83203125" style="39"/>
    <col min="6160" max="6160" width="11" style="39" bestFit="1" customWidth="1"/>
    <col min="6161" max="6165" width="8.83203125" style="39"/>
    <col min="6166" max="6173" width="9.1640625" style="39" bestFit="1" customWidth="1"/>
    <col min="6174" max="6175" width="8.83203125" style="39"/>
    <col min="6176" max="6176" width="11" style="39" bestFit="1" customWidth="1"/>
    <col min="6177" max="6181" width="8.83203125" style="39"/>
    <col min="6182" max="6189" width="9.1640625" style="39" bestFit="1" customWidth="1"/>
    <col min="6190" max="6191" width="8.83203125" style="39"/>
    <col min="6192" max="6192" width="11" style="39" bestFit="1" customWidth="1"/>
    <col min="6193" max="6197" width="8.83203125" style="39"/>
    <col min="6198" max="6205" width="9.1640625" style="39" bestFit="1" customWidth="1"/>
    <col min="6206" max="6207" width="8.83203125" style="39"/>
    <col min="6208" max="6208" width="11" style="39" bestFit="1" customWidth="1"/>
    <col min="6209" max="6213" width="8.83203125" style="39"/>
    <col min="6214" max="6221" width="9.1640625" style="39" bestFit="1" customWidth="1"/>
    <col min="6222" max="6223" width="8.83203125" style="39"/>
    <col min="6224" max="6224" width="11" style="39" bestFit="1" customWidth="1"/>
    <col min="6225" max="6229" width="8.83203125" style="39"/>
    <col min="6230" max="6237" width="9.1640625" style="39" bestFit="1" customWidth="1"/>
    <col min="6238" max="6239" width="8.83203125" style="39"/>
    <col min="6240" max="6240" width="11" style="39" bestFit="1" customWidth="1"/>
    <col min="6241" max="6245" width="8.83203125" style="39"/>
    <col min="6246" max="6253" width="9.1640625" style="39" bestFit="1" customWidth="1"/>
    <col min="6254" max="6255" width="8.83203125" style="39"/>
    <col min="6256" max="6256" width="11" style="39" bestFit="1" customWidth="1"/>
    <col min="6257" max="6261" width="8.83203125" style="39"/>
    <col min="6262" max="6269" width="9.1640625" style="39" bestFit="1" customWidth="1"/>
    <col min="6270" max="6271" width="8.83203125" style="39"/>
    <col min="6272" max="6272" width="11" style="39" bestFit="1" customWidth="1"/>
    <col min="6273" max="6277" width="8.83203125" style="39"/>
    <col min="6278" max="6285" width="9.1640625" style="39" bestFit="1" customWidth="1"/>
    <col min="6286" max="6287" width="8.83203125" style="39"/>
    <col min="6288" max="6288" width="11" style="39" bestFit="1" customWidth="1"/>
    <col min="6289" max="6293" width="8.83203125" style="39"/>
    <col min="6294" max="6301" width="9.1640625" style="39" bestFit="1" customWidth="1"/>
    <col min="6302" max="6303" width="8.83203125" style="39"/>
    <col min="6304" max="6304" width="11" style="39" bestFit="1" customWidth="1"/>
    <col min="6305" max="6309" width="8.83203125" style="39"/>
    <col min="6310" max="6317" width="9.1640625" style="39" bestFit="1" customWidth="1"/>
    <col min="6318" max="6319" width="8.83203125" style="39"/>
    <col min="6320" max="6320" width="11" style="39" bestFit="1" customWidth="1"/>
    <col min="6321" max="6325" width="8.83203125" style="39"/>
    <col min="6326" max="6333" width="9.1640625" style="39" bestFit="1" customWidth="1"/>
    <col min="6334" max="6335" width="8.83203125" style="39"/>
    <col min="6336" max="6336" width="11" style="39" bestFit="1" customWidth="1"/>
    <col min="6337" max="6341" width="8.83203125" style="39"/>
    <col min="6342" max="6349" width="9.1640625" style="39" bestFit="1" customWidth="1"/>
    <col min="6350" max="6351" width="8.83203125" style="39"/>
    <col min="6352" max="6352" width="11" style="39" bestFit="1" customWidth="1"/>
    <col min="6353" max="6357" width="8.83203125" style="39"/>
    <col min="6358" max="6365" width="9.1640625" style="39" bestFit="1" customWidth="1"/>
    <col min="6366" max="6367" width="8.83203125" style="39"/>
    <col min="6368" max="6368" width="11" style="39" bestFit="1" customWidth="1"/>
    <col min="6369" max="6373" width="8.83203125" style="39"/>
    <col min="6374" max="6381" width="9.1640625" style="39" bestFit="1" customWidth="1"/>
    <col min="6382" max="6383" width="8.83203125" style="39"/>
    <col min="6384" max="6384" width="11" style="39" bestFit="1" customWidth="1"/>
    <col min="6385" max="6389" width="8.83203125" style="39"/>
    <col min="6390" max="6397" width="9.1640625" style="39" bestFit="1" customWidth="1"/>
    <col min="6398" max="6399" width="8.83203125" style="39"/>
    <col min="6400" max="6400" width="11" style="39" bestFit="1" customWidth="1"/>
    <col min="6401" max="6405" width="8.83203125" style="39"/>
    <col min="6406" max="6413" width="9.1640625" style="39" bestFit="1" customWidth="1"/>
    <col min="6414" max="6415" width="8.83203125" style="39"/>
    <col min="6416" max="6416" width="11" style="39" bestFit="1" customWidth="1"/>
    <col min="6417" max="6421" width="8.83203125" style="39"/>
    <col min="6422" max="6429" width="9.1640625" style="39" bestFit="1" customWidth="1"/>
    <col min="6430" max="6431" width="8.83203125" style="39"/>
    <col min="6432" max="6432" width="11" style="39" bestFit="1" customWidth="1"/>
    <col min="6433" max="6437" width="8.83203125" style="39"/>
    <col min="6438" max="6445" width="9.1640625" style="39" bestFit="1" customWidth="1"/>
    <col min="6446" max="6447" width="8.83203125" style="39"/>
    <col min="6448" max="6448" width="11" style="39" bestFit="1" customWidth="1"/>
    <col min="6449" max="6453" width="8.83203125" style="39"/>
    <col min="6454" max="6461" width="9.1640625" style="39" bestFit="1" customWidth="1"/>
    <col min="6462" max="6463" width="8.83203125" style="39"/>
    <col min="6464" max="6464" width="11" style="39" bestFit="1" customWidth="1"/>
    <col min="6465" max="6469" width="8.83203125" style="39"/>
    <col min="6470" max="6477" width="9.1640625" style="39" bestFit="1" customWidth="1"/>
    <col min="6478" max="6479" width="8.83203125" style="39"/>
    <col min="6480" max="6480" width="11" style="39" bestFit="1" customWidth="1"/>
    <col min="6481" max="6485" width="8.83203125" style="39"/>
    <col min="6486" max="6493" width="9.1640625" style="39" bestFit="1" customWidth="1"/>
    <col min="6494" max="6495" width="8.83203125" style="39"/>
    <col min="6496" max="6496" width="11" style="39" bestFit="1" customWidth="1"/>
    <col min="6497" max="6501" width="8.83203125" style="39"/>
    <col min="6502" max="6509" width="9.1640625" style="39" bestFit="1" customWidth="1"/>
    <col min="6510" max="6511" width="8.83203125" style="39"/>
    <col min="6512" max="6512" width="11" style="39" bestFit="1" customWidth="1"/>
    <col min="6513" max="6517" width="8.83203125" style="39"/>
    <col min="6518" max="6525" width="9.1640625" style="39" bestFit="1" customWidth="1"/>
    <col min="6526" max="6527" width="8.83203125" style="39"/>
    <col min="6528" max="6528" width="11" style="39" bestFit="1" customWidth="1"/>
    <col min="6529" max="6533" width="8.83203125" style="39"/>
    <col min="6534" max="6541" width="9.1640625" style="39" bestFit="1" customWidth="1"/>
    <col min="6542" max="6543" width="8.83203125" style="39"/>
    <col min="6544" max="6544" width="11" style="39" bestFit="1" customWidth="1"/>
    <col min="6545" max="6549" width="8.83203125" style="39"/>
    <col min="6550" max="6557" width="9.1640625" style="39" bestFit="1" customWidth="1"/>
    <col min="6558" max="6559" width="8.83203125" style="39"/>
    <col min="6560" max="6560" width="11" style="39" bestFit="1" customWidth="1"/>
    <col min="6561" max="6565" width="8.83203125" style="39"/>
    <col min="6566" max="6573" width="9.1640625" style="39" bestFit="1" customWidth="1"/>
    <col min="6574" max="6575" width="8.83203125" style="39"/>
    <col min="6576" max="6576" width="11" style="39" bestFit="1" customWidth="1"/>
    <col min="6577" max="6581" width="8.83203125" style="39"/>
    <col min="6582" max="6589" width="9.1640625" style="39" bestFit="1" customWidth="1"/>
    <col min="6590" max="6591" width="8.83203125" style="39"/>
    <col min="6592" max="6592" width="11" style="39" bestFit="1" customWidth="1"/>
    <col min="6593" max="6597" width="8.83203125" style="39"/>
    <col min="6598" max="6605" width="9.1640625" style="39" bestFit="1" customWidth="1"/>
    <col min="6606" max="6607" width="8.83203125" style="39"/>
    <col min="6608" max="6608" width="11" style="39" bestFit="1" customWidth="1"/>
    <col min="6609" max="6613" width="8.83203125" style="39"/>
    <col min="6614" max="6621" width="9.1640625" style="39" bestFit="1" customWidth="1"/>
    <col min="6622" max="6623" width="8.83203125" style="39"/>
    <col min="6624" max="6624" width="11" style="39" bestFit="1" customWidth="1"/>
    <col min="6625" max="6629" width="8.83203125" style="39"/>
    <col min="6630" max="6637" width="9.1640625" style="39" bestFit="1" customWidth="1"/>
    <col min="6638" max="6639" width="8.83203125" style="39"/>
    <col min="6640" max="6640" width="11" style="39" bestFit="1" customWidth="1"/>
    <col min="6641" max="6645" width="8.83203125" style="39"/>
    <col min="6646" max="6653" width="9.1640625" style="39" bestFit="1" customWidth="1"/>
    <col min="6654" max="6655" width="8.83203125" style="39"/>
    <col min="6656" max="6656" width="11" style="39" bestFit="1" customWidth="1"/>
    <col min="6657" max="6661" width="8.83203125" style="39"/>
    <col min="6662" max="6669" width="9.1640625" style="39" bestFit="1" customWidth="1"/>
    <col min="6670" max="6671" width="8.83203125" style="39"/>
    <col min="6672" max="6672" width="11" style="39" bestFit="1" customWidth="1"/>
    <col min="6673" max="6677" width="8.83203125" style="39"/>
    <col min="6678" max="6685" width="9.1640625" style="39" bestFit="1" customWidth="1"/>
    <col min="6686" max="6687" width="8.83203125" style="39"/>
    <col min="6688" max="6688" width="11" style="39" bestFit="1" customWidth="1"/>
    <col min="6689" max="6693" width="8.83203125" style="39"/>
    <col min="6694" max="6701" width="9.1640625" style="39" bestFit="1" customWidth="1"/>
    <col min="6702" max="6703" width="8.83203125" style="39"/>
    <col min="6704" max="6704" width="11" style="39" bestFit="1" customWidth="1"/>
    <col min="6705" max="6709" width="8.83203125" style="39"/>
    <col min="6710" max="6717" width="9.1640625" style="39" bestFit="1" customWidth="1"/>
    <col min="6718" max="6719" width="8.83203125" style="39"/>
    <col min="6720" max="6720" width="11" style="39" bestFit="1" customWidth="1"/>
    <col min="6721" max="6725" width="8.83203125" style="39"/>
    <col min="6726" max="6733" width="9.1640625" style="39" bestFit="1" customWidth="1"/>
    <col min="6734" max="6735" width="8.83203125" style="39"/>
    <col min="6736" max="6736" width="11" style="39" bestFit="1" customWidth="1"/>
    <col min="6737" max="6741" width="8.83203125" style="39"/>
    <col min="6742" max="6749" width="9.1640625" style="39" bestFit="1" customWidth="1"/>
    <col min="6750" max="6751" width="8.83203125" style="39"/>
    <col min="6752" max="6752" width="11" style="39" bestFit="1" customWidth="1"/>
    <col min="6753" max="6757" width="8.83203125" style="39"/>
    <col min="6758" max="6765" width="9.1640625" style="39" bestFit="1" customWidth="1"/>
    <col min="6766" max="6767" width="8.83203125" style="39"/>
    <col min="6768" max="6768" width="11" style="39" bestFit="1" customWidth="1"/>
    <col min="6769" max="6773" width="8.83203125" style="39"/>
    <col min="6774" max="6781" width="9.1640625" style="39" bestFit="1" customWidth="1"/>
    <col min="6782" max="6783" width="8.83203125" style="39"/>
    <col min="6784" max="6784" width="11" style="39" bestFit="1" customWidth="1"/>
    <col min="6785" max="6789" width="8.83203125" style="39"/>
    <col min="6790" max="6797" width="9.1640625" style="39" bestFit="1" customWidth="1"/>
    <col min="6798" max="6799" width="8.83203125" style="39"/>
    <col min="6800" max="6800" width="11" style="39" bestFit="1" customWidth="1"/>
    <col min="6801" max="6805" width="8.83203125" style="39"/>
    <col min="6806" max="6813" width="9.1640625" style="39" bestFit="1" customWidth="1"/>
    <col min="6814" max="6815" width="8.83203125" style="39"/>
    <col min="6816" max="6816" width="11" style="39" bestFit="1" customWidth="1"/>
    <col min="6817" max="6821" width="8.83203125" style="39"/>
    <col min="6822" max="6829" width="9.1640625" style="39" bestFit="1" customWidth="1"/>
    <col min="6830" max="6831" width="8.83203125" style="39"/>
    <col min="6832" max="6832" width="11" style="39" bestFit="1" customWidth="1"/>
    <col min="6833" max="6837" width="8.83203125" style="39"/>
    <col min="6838" max="6845" width="9.1640625" style="39" bestFit="1" customWidth="1"/>
    <col min="6846" max="6847" width="8.83203125" style="39"/>
    <col min="6848" max="6848" width="11" style="39" bestFit="1" customWidth="1"/>
    <col min="6849" max="6853" width="8.83203125" style="39"/>
    <col min="6854" max="6861" width="9.1640625" style="39" bestFit="1" customWidth="1"/>
    <col min="6862" max="6863" width="8.83203125" style="39"/>
    <col min="6864" max="6864" width="11" style="39" bestFit="1" customWidth="1"/>
    <col min="6865" max="6869" width="8.83203125" style="39"/>
    <col min="6870" max="6877" width="9.1640625" style="39" bestFit="1" customWidth="1"/>
    <col min="6878" max="6879" width="8.83203125" style="39"/>
    <col min="6880" max="6880" width="11" style="39" bestFit="1" customWidth="1"/>
    <col min="6881" max="6885" width="8.83203125" style="39"/>
    <col min="6886" max="6893" width="9.1640625" style="39" bestFit="1" customWidth="1"/>
    <col min="6894" max="6895" width="8.83203125" style="39"/>
    <col min="6896" max="6896" width="11" style="39" bestFit="1" customWidth="1"/>
    <col min="6897" max="6901" width="8.83203125" style="39"/>
    <col min="6902" max="6909" width="9.1640625" style="39" bestFit="1" customWidth="1"/>
    <col min="6910" max="6911" width="8.83203125" style="39"/>
    <col min="6912" max="6912" width="11" style="39" bestFit="1" customWidth="1"/>
    <col min="6913" max="6917" width="8.83203125" style="39"/>
    <col min="6918" max="6925" width="9.1640625" style="39" bestFit="1" customWidth="1"/>
    <col min="6926" max="6927" width="8.83203125" style="39"/>
    <col min="6928" max="6928" width="11" style="39" bestFit="1" customWidth="1"/>
    <col min="6929" max="6933" width="8.83203125" style="39"/>
    <col min="6934" max="6941" width="9.1640625" style="39" bestFit="1" customWidth="1"/>
    <col min="6942" max="6943" width="8.83203125" style="39"/>
    <col min="6944" max="6944" width="11" style="39" bestFit="1" customWidth="1"/>
    <col min="6945" max="6949" width="8.83203125" style="39"/>
    <col min="6950" max="6957" width="9.1640625" style="39" bestFit="1" customWidth="1"/>
    <col min="6958" max="6959" width="8.83203125" style="39"/>
    <col min="6960" max="6960" width="11" style="39" bestFit="1" customWidth="1"/>
    <col min="6961" max="6965" width="8.83203125" style="39"/>
    <col min="6966" max="6973" width="9.1640625" style="39" bestFit="1" customWidth="1"/>
    <col min="6974" max="6975" width="8.83203125" style="39"/>
    <col min="6976" max="6976" width="11" style="39" bestFit="1" customWidth="1"/>
    <col min="6977" max="6981" width="8.83203125" style="39"/>
    <col min="6982" max="6989" width="9.1640625" style="39" bestFit="1" customWidth="1"/>
    <col min="6990" max="6991" width="8.83203125" style="39"/>
    <col min="6992" max="6992" width="11" style="39" bestFit="1" customWidth="1"/>
    <col min="6993" max="6997" width="8.83203125" style="39"/>
    <col min="6998" max="7005" width="9.1640625" style="39" bestFit="1" customWidth="1"/>
    <col min="7006" max="7007" width="8.83203125" style="39"/>
    <col min="7008" max="7008" width="11" style="39" bestFit="1" customWidth="1"/>
    <col min="7009" max="7013" width="8.83203125" style="39"/>
    <col min="7014" max="7021" width="9.1640625" style="39" bestFit="1" customWidth="1"/>
    <col min="7022" max="7023" width="8.83203125" style="39"/>
    <col min="7024" max="7024" width="11" style="39" bestFit="1" customWidth="1"/>
    <col min="7025" max="7029" width="8.83203125" style="39"/>
    <col min="7030" max="7037" width="9.1640625" style="39" bestFit="1" customWidth="1"/>
    <col min="7038" max="7039" width="8.83203125" style="39"/>
    <col min="7040" max="7040" width="11" style="39" bestFit="1" customWidth="1"/>
    <col min="7041" max="7045" width="8.83203125" style="39"/>
    <col min="7046" max="7053" width="9.1640625" style="39" bestFit="1" customWidth="1"/>
    <col min="7054" max="7055" width="8.83203125" style="39"/>
    <col min="7056" max="7056" width="11" style="39" bestFit="1" customWidth="1"/>
    <col min="7057" max="7061" width="8.83203125" style="39"/>
    <col min="7062" max="7069" width="9.1640625" style="39" bestFit="1" customWidth="1"/>
    <col min="7070" max="7071" width="8.83203125" style="39"/>
    <col min="7072" max="7072" width="11" style="39" bestFit="1" customWidth="1"/>
    <col min="7073" max="7077" width="8.83203125" style="39"/>
    <col min="7078" max="7085" width="9.1640625" style="39" bestFit="1" customWidth="1"/>
    <col min="7086" max="7087" width="8.83203125" style="39"/>
    <col min="7088" max="7088" width="11" style="39" bestFit="1" customWidth="1"/>
    <col min="7089" max="7093" width="8.83203125" style="39"/>
    <col min="7094" max="7101" width="9.1640625" style="39" bestFit="1" customWidth="1"/>
    <col min="7102" max="7103" width="8.83203125" style="39"/>
    <col min="7104" max="7104" width="11" style="39" bestFit="1" customWidth="1"/>
    <col min="7105" max="7109" width="8.83203125" style="39"/>
    <col min="7110" max="7117" width="9.1640625" style="39" bestFit="1" customWidth="1"/>
    <col min="7118" max="7119" width="8.83203125" style="39"/>
    <col min="7120" max="7120" width="11" style="39" bestFit="1" customWidth="1"/>
    <col min="7121" max="7125" width="8.83203125" style="39"/>
    <col min="7126" max="7133" width="9.1640625" style="39" bestFit="1" customWidth="1"/>
    <col min="7134" max="7135" width="8.83203125" style="39"/>
    <col min="7136" max="7136" width="11" style="39" bestFit="1" customWidth="1"/>
    <col min="7137" max="7141" width="8.83203125" style="39"/>
    <col min="7142" max="7149" width="9.1640625" style="39" bestFit="1" customWidth="1"/>
    <col min="7150" max="7151" width="8.83203125" style="39"/>
    <col min="7152" max="7152" width="11" style="39" bestFit="1" customWidth="1"/>
    <col min="7153" max="7157" width="8.83203125" style="39"/>
    <col min="7158" max="7165" width="9.1640625" style="39" bestFit="1" customWidth="1"/>
    <col min="7166" max="7167" width="8.83203125" style="39"/>
    <col min="7168" max="7168" width="11" style="39" bestFit="1" customWidth="1"/>
    <col min="7169" max="7173" width="8.83203125" style="39"/>
    <col min="7174" max="7181" width="9.1640625" style="39" bestFit="1" customWidth="1"/>
    <col min="7182" max="7183" width="8.83203125" style="39"/>
    <col min="7184" max="7184" width="11" style="39" bestFit="1" customWidth="1"/>
    <col min="7185" max="7189" width="8.83203125" style="39"/>
    <col min="7190" max="7197" width="9.1640625" style="39" bestFit="1" customWidth="1"/>
    <col min="7198" max="7199" width="8.83203125" style="39"/>
    <col min="7200" max="7200" width="11" style="39" bestFit="1" customWidth="1"/>
    <col min="7201" max="7205" width="8.83203125" style="39"/>
    <col min="7206" max="7213" width="9.1640625" style="39" bestFit="1" customWidth="1"/>
    <col min="7214" max="7215" width="8.83203125" style="39"/>
    <col min="7216" max="7216" width="11" style="39" bestFit="1" customWidth="1"/>
    <col min="7217" max="7221" width="8.83203125" style="39"/>
    <col min="7222" max="7229" width="9.1640625" style="39" bestFit="1" customWidth="1"/>
    <col min="7230" max="7231" width="8.83203125" style="39"/>
    <col min="7232" max="7232" width="11" style="39" bestFit="1" customWidth="1"/>
    <col min="7233" max="7237" width="8.83203125" style="39"/>
    <col min="7238" max="7245" width="9.1640625" style="39" bestFit="1" customWidth="1"/>
    <col min="7246" max="7247" width="8.83203125" style="39"/>
    <col min="7248" max="7248" width="11" style="39" bestFit="1" customWidth="1"/>
    <col min="7249" max="7253" width="8.83203125" style="39"/>
    <col min="7254" max="7261" width="9.1640625" style="39" bestFit="1" customWidth="1"/>
    <col min="7262" max="7263" width="8.83203125" style="39"/>
    <col min="7264" max="7264" width="11" style="39" bestFit="1" customWidth="1"/>
    <col min="7265" max="7269" width="8.83203125" style="39"/>
    <col min="7270" max="7277" width="9.1640625" style="39" bestFit="1" customWidth="1"/>
    <col min="7278" max="7279" width="8.83203125" style="39"/>
    <col min="7280" max="7280" width="11" style="39" bestFit="1" customWidth="1"/>
    <col min="7281" max="7285" width="8.83203125" style="39"/>
    <col min="7286" max="7293" width="9.1640625" style="39" bestFit="1" customWidth="1"/>
    <col min="7294" max="7295" width="8.83203125" style="39"/>
    <col min="7296" max="7296" width="11" style="39" bestFit="1" customWidth="1"/>
    <col min="7297" max="7301" width="8.83203125" style="39"/>
    <col min="7302" max="7309" width="9.1640625" style="39" bestFit="1" customWidth="1"/>
    <col min="7310" max="7311" width="8.83203125" style="39"/>
    <col min="7312" max="7312" width="11" style="39" bestFit="1" customWidth="1"/>
    <col min="7313" max="7317" width="8.83203125" style="39"/>
    <col min="7318" max="7325" width="9.1640625" style="39" bestFit="1" customWidth="1"/>
    <col min="7326" max="7327" width="8.83203125" style="39"/>
    <col min="7328" max="7328" width="11" style="39" bestFit="1" customWidth="1"/>
    <col min="7329" max="7333" width="8.83203125" style="39"/>
    <col min="7334" max="7341" width="9.1640625" style="39" bestFit="1" customWidth="1"/>
    <col min="7342" max="7343" width="8.83203125" style="39"/>
    <col min="7344" max="7344" width="11" style="39" bestFit="1" customWidth="1"/>
    <col min="7345" max="7349" width="8.83203125" style="39"/>
    <col min="7350" max="7357" width="9.1640625" style="39" bestFit="1" customWidth="1"/>
    <col min="7358" max="7359" width="8.83203125" style="39"/>
    <col min="7360" max="7360" width="11" style="39" bestFit="1" customWidth="1"/>
    <col min="7361" max="7365" width="8.83203125" style="39"/>
    <col min="7366" max="7373" width="9.1640625" style="39" bestFit="1" customWidth="1"/>
    <col min="7374" max="7375" width="8.83203125" style="39"/>
    <col min="7376" max="7376" width="11" style="39" bestFit="1" customWidth="1"/>
    <col min="7377" max="7381" width="8.83203125" style="39"/>
    <col min="7382" max="7389" width="9.1640625" style="39" bestFit="1" customWidth="1"/>
    <col min="7390" max="7391" width="8.83203125" style="39"/>
    <col min="7392" max="7392" width="11" style="39" bestFit="1" customWidth="1"/>
    <col min="7393" max="7397" width="8.83203125" style="39"/>
    <col min="7398" max="7405" width="9.1640625" style="39" bestFit="1" customWidth="1"/>
    <col min="7406" max="7407" width="8.83203125" style="39"/>
    <col min="7408" max="7408" width="11" style="39" bestFit="1" customWidth="1"/>
    <col min="7409" max="7413" width="8.83203125" style="39"/>
    <col min="7414" max="7421" width="9.1640625" style="39" bestFit="1" customWidth="1"/>
    <col min="7422" max="7423" width="8.83203125" style="39"/>
    <col min="7424" max="7424" width="11" style="39" bestFit="1" customWidth="1"/>
    <col min="7425" max="7429" width="8.83203125" style="39"/>
    <col min="7430" max="7437" width="9.1640625" style="39" bestFit="1" customWidth="1"/>
    <col min="7438" max="7439" width="8.83203125" style="39"/>
    <col min="7440" max="7440" width="11" style="39" bestFit="1" customWidth="1"/>
    <col min="7441" max="7445" width="8.83203125" style="39"/>
    <col min="7446" max="7453" width="9.1640625" style="39" bestFit="1" customWidth="1"/>
    <col min="7454" max="7455" width="8.83203125" style="39"/>
    <col min="7456" max="7456" width="11" style="39" bestFit="1" customWidth="1"/>
    <col min="7457" max="7461" width="8.83203125" style="39"/>
    <col min="7462" max="7469" width="9.1640625" style="39" bestFit="1" customWidth="1"/>
    <col min="7470" max="7471" width="8.83203125" style="39"/>
    <col min="7472" max="7472" width="11" style="39" bestFit="1" customWidth="1"/>
    <col min="7473" max="7477" width="8.83203125" style="39"/>
    <col min="7478" max="7485" width="9.1640625" style="39" bestFit="1" customWidth="1"/>
    <col min="7486" max="7487" width="8.83203125" style="39"/>
    <col min="7488" max="7488" width="11" style="39" bestFit="1" customWidth="1"/>
    <col min="7489" max="7493" width="8.83203125" style="39"/>
    <col min="7494" max="7501" width="9.1640625" style="39" bestFit="1" customWidth="1"/>
    <col min="7502" max="7503" width="8.83203125" style="39"/>
    <col min="7504" max="7504" width="11" style="39" bestFit="1" customWidth="1"/>
    <col min="7505" max="7509" width="8.83203125" style="39"/>
    <col min="7510" max="7517" width="9.1640625" style="39" bestFit="1" customWidth="1"/>
    <col min="7518" max="7519" width="8.83203125" style="39"/>
    <col min="7520" max="7520" width="11" style="39" bestFit="1" customWidth="1"/>
    <col min="7521" max="7525" width="8.83203125" style="39"/>
    <col min="7526" max="7533" width="9.1640625" style="39" bestFit="1" customWidth="1"/>
    <col min="7534" max="7535" width="8.83203125" style="39"/>
    <col min="7536" max="7536" width="11" style="39" bestFit="1" customWidth="1"/>
    <col min="7537" max="7541" width="8.83203125" style="39"/>
    <col min="7542" max="7549" width="9.1640625" style="39" bestFit="1" customWidth="1"/>
    <col min="7550" max="7551" width="8.83203125" style="39"/>
    <col min="7552" max="7552" width="11" style="39" bestFit="1" customWidth="1"/>
    <col min="7553" max="7557" width="8.83203125" style="39"/>
    <col min="7558" max="7565" width="9.1640625" style="39" bestFit="1" customWidth="1"/>
    <col min="7566" max="7567" width="8.83203125" style="39"/>
    <col min="7568" max="7568" width="11" style="39" bestFit="1" customWidth="1"/>
    <col min="7569" max="7573" width="8.83203125" style="39"/>
    <col min="7574" max="7581" width="9.1640625" style="39" bestFit="1" customWidth="1"/>
    <col min="7582" max="7583" width="8.83203125" style="39"/>
    <col min="7584" max="7584" width="11" style="39" bestFit="1" customWidth="1"/>
    <col min="7585" max="7589" width="8.83203125" style="39"/>
    <col min="7590" max="7597" width="9.1640625" style="39" bestFit="1" customWidth="1"/>
    <col min="7598" max="7599" width="8.83203125" style="39"/>
    <col min="7600" max="7600" width="11" style="39" bestFit="1" customWidth="1"/>
    <col min="7601" max="7605" width="8.83203125" style="39"/>
    <col min="7606" max="7613" width="9.1640625" style="39" bestFit="1" customWidth="1"/>
    <col min="7614" max="7615" width="8.83203125" style="39"/>
    <col min="7616" max="7616" width="11" style="39" bestFit="1" customWidth="1"/>
    <col min="7617" max="7621" width="8.83203125" style="39"/>
    <col min="7622" max="7629" width="9.1640625" style="39" bestFit="1" customWidth="1"/>
    <col min="7630" max="7631" width="8.83203125" style="39"/>
    <col min="7632" max="7632" width="11" style="39" bestFit="1" customWidth="1"/>
    <col min="7633" max="7637" width="8.83203125" style="39"/>
    <col min="7638" max="7645" width="9.1640625" style="39" bestFit="1" customWidth="1"/>
    <col min="7646" max="7647" width="8.83203125" style="39"/>
    <col min="7648" max="7648" width="11" style="39" bestFit="1" customWidth="1"/>
    <col min="7649" max="7653" width="8.83203125" style="39"/>
    <col min="7654" max="7661" width="9.1640625" style="39" bestFit="1" customWidth="1"/>
    <col min="7662" max="7663" width="8.83203125" style="39"/>
    <col min="7664" max="7664" width="11" style="39" bestFit="1" customWidth="1"/>
    <col min="7665" max="7669" width="8.83203125" style="39"/>
    <col min="7670" max="7677" width="9.1640625" style="39" bestFit="1" customWidth="1"/>
    <col min="7678" max="7679" width="8.83203125" style="39"/>
    <col min="7680" max="7680" width="11" style="39" bestFit="1" customWidth="1"/>
    <col min="7681" max="7685" width="8.83203125" style="39"/>
    <col min="7686" max="7693" width="9.1640625" style="39" bestFit="1" customWidth="1"/>
    <col min="7694" max="7695" width="8.83203125" style="39"/>
    <col min="7696" max="7696" width="11" style="39" bestFit="1" customWidth="1"/>
    <col min="7697" max="7701" width="8.83203125" style="39"/>
    <col min="7702" max="7709" width="9.1640625" style="39" bestFit="1" customWidth="1"/>
    <col min="7710" max="7711" width="8.83203125" style="39"/>
    <col min="7712" max="7712" width="11" style="39" bestFit="1" customWidth="1"/>
    <col min="7713" max="7717" width="8.83203125" style="39"/>
    <col min="7718" max="7725" width="9.1640625" style="39" bestFit="1" customWidth="1"/>
    <col min="7726" max="7727" width="8.83203125" style="39"/>
    <col min="7728" max="7728" width="11" style="39" bestFit="1" customWidth="1"/>
    <col min="7729" max="7733" width="8.83203125" style="39"/>
    <col min="7734" max="7741" width="9.1640625" style="39" bestFit="1" customWidth="1"/>
    <col min="7742" max="7743" width="8.83203125" style="39"/>
    <col min="7744" max="7744" width="11" style="39" bestFit="1" customWidth="1"/>
    <col min="7745" max="7749" width="8.83203125" style="39"/>
    <col min="7750" max="7757" width="9.1640625" style="39" bestFit="1" customWidth="1"/>
    <col min="7758" max="7759" width="8.83203125" style="39"/>
    <col min="7760" max="7760" width="11" style="39" bestFit="1" customWidth="1"/>
    <col min="7761" max="7765" width="8.83203125" style="39"/>
    <col min="7766" max="7773" width="9.1640625" style="39" bestFit="1" customWidth="1"/>
    <col min="7774" max="7775" width="8.83203125" style="39"/>
    <col min="7776" max="7776" width="11" style="39" bestFit="1" customWidth="1"/>
    <col min="7777" max="7781" width="8.83203125" style="39"/>
    <col min="7782" max="7789" width="9.1640625" style="39" bestFit="1" customWidth="1"/>
    <col min="7790" max="7791" width="8.83203125" style="39"/>
    <col min="7792" max="7792" width="11" style="39" bestFit="1" customWidth="1"/>
    <col min="7793" max="7797" width="8.83203125" style="39"/>
    <col min="7798" max="7805" width="9.1640625" style="39" bestFit="1" customWidth="1"/>
    <col min="7806" max="7807" width="8.83203125" style="39"/>
    <col min="7808" max="7808" width="11" style="39" bestFit="1" customWidth="1"/>
    <col min="7809" max="7813" width="8.83203125" style="39"/>
    <col min="7814" max="7821" width="9.1640625" style="39" bestFit="1" customWidth="1"/>
    <col min="7822" max="7823" width="8.83203125" style="39"/>
    <col min="7824" max="7824" width="11" style="39" bestFit="1" customWidth="1"/>
    <col min="7825" max="7829" width="8.83203125" style="39"/>
    <col min="7830" max="7837" width="9.1640625" style="39" bestFit="1" customWidth="1"/>
    <col min="7838" max="7839" width="8.83203125" style="39"/>
    <col min="7840" max="7840" width="11" style="39" bestFit="1" customWidth="1"/>
    <col min="7841" max="7845" width="8.83203125" style="39"/>
    <col min="7846" max="7853" width="9.1640625" style="39" bestFit="1" customWidth="1"/>
    <col min="7854" max="7855" width="8.83203125" style="39"/>
    <col min="7856" max="7856" width="11" style="39" bestFit="1" customWidth="1"/>
    <col min="7857" max="7861" width="8.83203125" style="39"/>
    <col min="7862" max="7869" width="9.1640625" style="39" bestFit="1" customWidth="1"/>
    <col min="7870" max="7871" width="8.83203125" style="39"/>
    <col min="7872" max="7872" width="11" style="39" bestFit="1" customWidth="1"/>
    <col min="7873" max="7877" width="8.83203125" style="39"/>
    <col min="7878" max="7885" width="9.1640625" style="39" bestFit="1" customWidth="1"/>
    <col min="7886" max="7887" width="8.83203125" style="39"/>
    <col min="7888" max="7888" width="11" style="39" bestFit="1" customWidth="1"/>
    <col min="7889" max="7893" width="8.83203125" style="39"/>
    <col min="7894" max="7901" width="9.1640625" style="39" bestFit="1" customWidth="1"/>
    <col min="7902" max="7903" width="8.83203125" style="39"/>
    <col min="7904" max="7904" width="11" style="39" bestFit="1" customWidth="1"/>
    <col min="7905" max="7909" width="8.83203125" style="39"/>
    <col min="7910" max="7917" width="9.1640625" style="39" bestFit="1" customWidth="1"/>
    <col min="7918" max="7919" width="8.83203125" style="39"/>
    <col min="7920" max="7920" width="11" style="39" bestFit="1" customWidth="1"/>
    <col min="7921" max="7925" width="8.83203125" style="39"/>
    <col min="7926" max="7933" width="9.1640625" style="39" bestFit="1" customWidth="1"/>
    <col min="7934" max="7935" width="8.83203125" style="39"/>
    <col min="7936" max="7936" width="11" style="39" bestFit="1" customWidth="1"/>
    <col min="7937" max="7941" width="8.83203125" style="39"/>
    <col min="7942" max="7949" width="9.1640625" style="39" bestFit="1" customWidth="1"/>
    <col min="7950" max="7951" width="8.83203125" style="39"/>
    <col min="7952" max="7952" width="11" style="39" bestFit="1" customWidth="1"/>
    <col min="7953" max="7957" width="8.83203125" style="39"/>
    <col min="7958" max="7965" width="9.1640625" style="39" bestFit="1" customWidth="1"/>
    <col min="7966" max="7967" width="8.83203125" style="39"/>
    <col min="7968" max="7968" width="11" style="39" bestFit="1" customWidth="1"/>
    <col min="7969" max="7973" width="8.83203125" style="39"/>
    <col min="7974" max="7981" width="9.1640625" style="39" bestFit="1" customWidth="1"/>
    <col min="7982" max="7983" width="8.83203125" style="39"/>
    <col min="7984" max="7984" width="11" style="39" bestFit="1" customWidth="1"/>
    <col min="7985" max="7989" width="8.83203125" style="39"/>
    <col min="7990" max="7997" width="9.1640625" style="39" bestFit="1" customWidth="1"/>
    <col min="7998" max="7999" width="8.83203125" style="39"/>
    <col min="8000" max="8000" width="11" style="39" bestFit="1" customWidth="1"/>
    <col min="8001" max="8005" width="8.83203125" style="39"/>
    <col min="8006" max="8013" width="9.1640625" style="39" bestFit="1" customWidth="1"/>
    <col min="8014" max="8015" width="8.83203125" style="39"/>
    <col min="8016" max="8016" width="11" style="39" bestFit="1" customWidth="1"/>
    <col min="8017" max="8021" width="8.83203125" style="39"/>
    <col min="8022" max="8029" width="9.1640625" style="39" bestFit="1" customWidth="1"/>
    <col min="8030" max="8031" width="8.83203125" style="39"/>
    <col min="8032" max="8032" width="11" style="39" bestFit="1" customWidth="1"/>
    <col min="8033" max="8037" width="8.83203125" style="39"/>
    <col min="8038" max="8045" width="9.1640625" style="39" bestFit="1" customWidth="1"/>
    <col min="8046" max="8047" width="8.83203125" style="39"/>
    <col min="8048" max="8048" width="11" style="39" bestFit="1" customWidth="1"/>
    <col min="8049" max="8053" width="8.83203125" style="39"/>
    <col min="8054" max="8061" width="9.1640625" style="39" bestFit="1" customWidth="1"/>
    <col min="8062" max="8063" width="8.83203125" style="39"/>
    <col min="8064" max="8064" width="11" style="39" bestFit="1" customWidth="1"/>
    <col min="8065" max="8069" width="8.83203125" style="39"/>
    <col min="8070" max="8077" width="9.1640625" style="39" bestFit="1" customWidth="1"/>
    <col min="8078" max="8079" width="8.83203125" style="39"/>
    <col min="8080" max="8080" width="11" style="39" bestFit="1" customWidth="1"/>
    <col min="8081" max="8085" width="8.83203125" style="39"/>
    <col min="8086" max="8093" width="9.1640625" style="39" bestFit="1" customWidth="1"/>
    <col min="8094" max="8095" width="8.83203125" style="39"/>
    <col min="8096" max="8096" width="11" style="39" bestFit="1" customWidth="1"/>
    <col min="8097" max="8101" width="8.83203125" style="39"/>
    <col min="8102" max="8109" width="9.1640625" style="39" bestFit="1" customWidth="1"/>
    <col min="8110" max="8111" width="8.83203125" style="39"/>
    <col min="8112" max="8112" width="11" style="39" bestFit="1" customWidth="1"/>
    <col min="8113" max="8117" width="8.83203125" style="39"/>
    <col min="8118" max="8125" width="9.1640625" style="39" bestFit="1" customWidth="1"/>
    <col min="8126" max="8127" width="8.83203125" style="39"/>
    <col min="8128" max="8128" width="11" style="39" bestFit="1" customWidth="1"/>
    <col min="8129" max="8133" width="8.83203125" style="39"/>
    <col min="8134" max="8141" width="9.1640625" style="39" bestFit="1" customWidth="1"/>
    <col min="8142" max="8143" width="8.83203125" style="39"/>
    <col min="8144" max="8144" width="11" style="39" bestFit="1" customWidth="1"/>
    <col min="8145" max="8149" width="8.83203125" style="39"/>
    <col min="8150" max="8157" width="9.1640625" style="39" bestFit="1" customWidth="1"/>
    <col min="8158" max="8159" width="8.83203125" style="39"/>
    <col min="8160" max="8160" width="11" style="39" bestFit="1" customWidth="1"/>
    <col min="8161" max="8165" width="8.83203125" style="39"/>
    <col min="8166" max="8173" width="9.1640625" style="39" bestFit="1" customWidth="1"/>
    <col min="8174" max="8175" width="8.83203125" style="39"/>
    <col min="8176" max="8176" width="11" style="39" bestFit="1" customWidth="1"/>
    <col min="8177" max="8181" width="8.83203125" style="39"/>
    <col min="8182" max="8189" width="9.1640625" style="39" bestFit="1" customWidth="1"/>
    <col min="8190" max="8191" width="8.83203125" style="39"/>
    <col min="8192" max="8192" width="11" style="39" bestFit="1" customWidth="1"/>
    <col min="8193" max="8197" width="8.83203125" style="39"/>
    <col min="8198" max="8205" width="9.1640625" style="39" bestFit="1" customWidth="1"/>
    <col min="8206" max="8207" width="8.83203125" style="39"/>
    <col min="8208" max="8208" width="11" style="39" bestFit="1" customWidth="1"/>
    <col min="8209" max="8213" width="8.83203125" style="39"/>
    <col min="8214" max="8221" width="9.1640625" style="39" bestFit="1" customWidth="1"/>
    <col min="8222" max="8223" width="8.83203125" style="39"/>
    <col min="8224" max="8224" width="11" style="39" bestFit="1" customWidth="1"/>
    <col min="8225" max="8229" width="8.83203125" style="39"/>
    <col min="8230" max="8237" width="9.1640625" style="39" bestFit="1" customWidth="1"/>
    <col min="8238" max="8239" width="8.83203125" style="39"/>
    <col min="8240" max="8240" width="11" style="39" bestFit="1" customWidth="1"/>
    <col min="8241" max="8245" width="8.83203125" style="39"/>
    <col min="8246" max="8253" width="9.1640625" style="39" bestFit="1" customWidth="1"/>
    <col min="8254" max="8255" width="8.83203125" style="39"/>
    <col min="8256" max="8256" width="11" style="39" bestFit="1" customWidth="1"/>
    <col min="8257" max="8261" width="8.83203125" style="39"/>
    <col min="8262" max="8269" width="9.1640625" style="39" bestFit="1" customWidth="1"/>
    <col min="8270" max="8271" width="8.83203125" style="39"/>
    <col min="8272" max="8272" width="11" style="39" bestFit="1" customWidth="1"/>
    <col min="8273" max="8277" width="8.83203125" style="39"/>
    <col min="8278" max="8285" width="9.1640625" style="39" bestFit="1" customWidth="1"/>
    <col min="8286" max="8287" width="8.83203125" style="39"/>
    <col min="8288" max="8288" width="11" style="39" bestFit="1" customWidth="1"/>
    <col min="8289" max="8293" width="8.83203125" style="39"/>
    <col min="8294" max="8301" width="9.1640625" style="39" bestFit="1" customWidth="1"/>
    <col min="8302" max="8303" width="8.83203125" style="39"/>
    <col min="8304" max="8304" width="11" style="39" bestFit="1" customWidth="1"/>
    <col min="8305" max="8309" width="8.83203125" style="39"/>
    <col min="8310" max="8317" width="9.1640625" style="39" bestFit="1" customWidth="1"/>
    <col min="8318" max="8319" width="8.83203125" style="39"/>
    <col min="8320" max="8320" width="11" style="39" bestFit="1" customWidth="1"/>
    <col min="8321" max="8325" width="8.83203125" style="39"/>
    <col min="8326" max="8333" width="9.1640625" style="39" bestFit="1" customWidth="1"/>
    <col min="8334" max="8335" width="8.83203125" style="39"/>
    <col min="8336" max="8336" width="11" style="39" bestFit="1" customWidth="1"/>
    <col min="8337" max="8341" width="8.83203125" style="39"/>
    <col min="8342" max="8349" width="9.1640625" style="39" bestFit="1" customWidth="1"/>
    <col min="8350" max="8351" width="8.83203125" style="39"/>
    <col min="8352" max="8352" width="11" style="39" bestFit="1" customWidth="1"/>
    <col min="8353" max="8357" width="8.83203125" style="39"/>
    <col min="8358" max="8365" width="9.1640625" style="39" bestFit="1" customWidth="1"/>
    <col min="8366" max="8367" width="8.83203125" style="39"/>
    <col min="8368" max="8368" width="11" style="39" bestFit="1" customWidth="1"/>
    <col min="8369" max="8373" width="8.83203125" style="39"/>
    <col min="8374" max="8381" width="9.1640625" style="39" bestFit="1" customWidth="1"/>
    <col min="8382" max="8383" width="8.83203125" style="39"/>
    <col min="8384" max="8384" width="11" style="39" bestFit="1" customWidth="1"/>
    <col min="8385" max="8389" width="8.83203125" style="39"/>
    <col min="8390" max="8397" width="9.1640625" style="39" bestFit="1" customWidth="1"/>
    <col min="8398" max="8399" width="8.83203125" style="39"/>
    <col min="8400" max="8400" width="11" style="39" bestFit="1" customWidth="1"/>
    <col min="8401" max="8405" width="8.83203125" style="39"/>
    <col min="8406" max="8413" width="9.1640625" style="39" bestFit="1" customWidth="1"/>
    <col min="8414" max="8415" width="8.83203125" style="39"/>
    <col min="8416" max="8416" width="11" style="39" bestFit="1" customWidth="1"/>
    <col min="8417" max="8421" width="8.83203125" style="39"/>
    <col min="8422" max="8429" width="9.1640625" style="39" bestFit="1" customWidth="1"/>
    <col min="8430" max="8431" width="8.83203125" style="39"/>
    <col min="8432" max="8432" width="11" style="39" bestFit="1" customWidth="1"/>
    <col min="8433" max="8437" width="8.83203125" style="39"/>
    <col min="8438" max="8445" width="9.1640625" style="39" bestFit="1" customWidth="1"/>
    <col min="8446" max="8447" width="8.83203125" style="39"/>
    <col min="8448" max="8448" width="11" style="39" bestFit="1" customWidth="1"/>
    <col min="8449" max="8453" width="8.83203125" style="39"/>
    <col min="8454" max="8461" width="9.1640625" style="39" bestFit="1" customWidth="1"/>
    <col min="8462" max="8463" width="8.83203125" style="39"/>
    <col min="8464" max="8464" width="11" style="39" bestFit="1" customWidth="1"/>
    <col min="8465" max="8469" width="8.83203125" style="39"/>
    <col min="8470" max="8477" width="9.1640625" style="39" bestFit="1" customWidth="1"/>
    <col min="8478" max="8479" width="8.83203125" style="39"/>
    <col min="8480" max="8480" width="11" style="39" bestFit="1" customWidth="1"/>
    <col min="8481" max="8485" width="8.83203125" style="39"/>
    <col min="8486" max="8493" width="9.1640625" style="39" bestFit="1" customWidth="1"/>
    <col min="8494" max="8495" width="8.83203125" style="39"/>
    <col min="8496" max="8496" width="11" style="39" bestFit="1" customWidth="1"/>
    <col min="8497" max="8501" width="8.83203125" style="39"/>
    <col min="8502" max="8509" width="9.1640625" style="39" bestFit="1" customWidth="1"/>
    <col min="8510" max="8511" width="8.83203125" style="39"/>
    <col min="8512" max="8512" width="11" style="39" bestFit="1" customWidth="1"/>
    <col min="8513" max="8517" width="8.83203125" style="39"/>
    <col min="8518" max="8525" width="9.1640625" style="39" bestFit="1" customWidth="1"/>
    <col min="8526" max="8527" width="8.83203125" style="39"/>
    <col min="8528" max="8528" width="11" style="39" bestFit="1" customWidth="1"/>
    <col min="8529" max="8533" width="8.83203125" style="39"/>
    <col min="8534" max="8541" width="9.1640625" style="39" bestFit="1" customWidth="1"/>
    <col min="8542" max="8543" width="8.83203125" style="39"/>
    <col min="8544" max="8544" width="11" style="39" bestFit="1" customWidth="1"/>
    <col min="8545" max="8549" width="8.83203125" style="39"/>
    <col min="8550" max="8557" width="9.1640625" style="39" bestFit="1" customWidth="1"/>
    <col min="8558" max="8559" width="8.83203125" style="39"/>
    <col min="8560" max="8560" width="11" style="39" bestFit="1" customWidth="1"/>
    <col min="8561" max="8565" width="8.83203125" style="39"/>
    <col min="8566" max="8573" width="9.1640625" style="39" bestFit="1" customWidth="1"/>
    <col min="8574" max="8575" width="8.83203125" style="39"/>
    <col min="8576" max="8576" width="11" style="39" bestFit="1" customWidth="1"/>
    <col min="8577" max="8581" width="8.83203125" style="39"/>
    <col min="8582" max="8589" width="9.1640625" style="39" bestFit="1" customWidth="1"/>
    <col min="8590" max="8591" width="8.83203125" style="39"/>
    <col min="8592" max="8592" width="11" style="39" bestFit="1" customWidth="1"/>
    <col min="8593" max="8597" width="8.83203125" style="39"/>
    <col min="8598" max="8605" width="9.1640625" style="39" bestFit="1" customWidth="1"/>
    <col min="8606" max="8607" width="8.83203125" style="39"/>
    <col min="8608" max="8608" width="11" style="39" bestFit="1" customWidth="1"/>
    <col min="8609" max="8613" width="8.83203125" style="39"/>
    <col min="8614" max="8621" width="9.1640625" style="39" bestFit="1" customWidth="1"/>
    <col min="8622" max="8623" width="8.83203125" style="39"/>
    <col min="8624" max="8624" width="11" style="39" bestFit="1" customWidth="1"/>
    <col min="8625" max="8629" width="8.83203125" style="39"/>
    <col min="8630" max="8637" width="9.1640625" style="39" bestFit="1" customWidth="1"/>
    <col min="8638" max="8639" width="8.83203125" style="39"/>
    <col min="8640" max="8640" width="11" style="39" bestFit="1" customWidth="1"/>
    <col min="8641" max="8645" width="8.83203125" style="39"/>
    <col min="8646" max="8653" width="9.1640625" style="39" bestFit="1" customWidth="1"/>
    <col min="8654" max="8655" width="8.83203125" style="39"/>
    <col min="8656" max="8656" width="11" style="39" bestFit="1" customWidth="1"/>
    <col min="8657" max="8661" width="8.83203125" style="39"/>
    <col min="8662" max="8669" width="9.1640625" style="39" bestFit="1" customWidth="1"/>
    <col min="8670" max="8671" width="8.83203125" style="39"/>
    <col min="8672" max="8672" width="11" style="39" bestFit="1" customWidth="1"/>
    <col min="8673" max="8677" width="8.83203125" style="39"/>
    <col min="8678" max="8685" width="9.1640625" style="39" bestFit="1" customWidth="1"/>
    <col min="8686" max="8687" width="8.83203125" style="39"/>
    <col min="8688" max="8688" width="11" style="39" bestFit="1" customWidth="1"/>
    <col min="8689" max="8693" width="8.83203125" style="39"/>
    <col min="8694" max="8701" width="9.1640625" style="39" bestFit="1" customWidth="1"/>
    <col min="8702" max="8703" width="8.83203125" style="39"/>
    <col min="8704" max="8704" width="11" style="39" bestFit="1" customWidth="1"/>
    <col min="8705" max="8709" width="8.83203125" style="39"/>
    <col min="8710" max="8717" width="9.1640625" style="39" bestFit="1" customWidth="1"/>
    <col min="8718" max="8719" width="8.83203125" style="39"/>
    <col min="8720" max="8720" width="11" style="39" bestFit="1" customWidth="1"/>
    <col min="8721" max="8725" width="8.83203125" style="39"/>
    <col min="8726" max="8733" width="9.1640625" style="39" bestFit="1" customWidth="1"/>
    <col min="8734" max="8735" width="8.83203125" style="39"/>
    <col min="8736" max="8736" width="11" style="39" bestFit="1" customWidth="1"/>
    <col min="8737" max="8741" width="8.83203125" style="39"/>
    <col min="8742" max="8749" width="9.1640625" style="39" bestFit="1" customWidth="1"/>
    <col min="8750" max="8751" width="8.83203125" style="39"/>
    <col min="8752" max="8752" width="11" style="39" bestFit="1" customWidth="1"/>
    <col min="8753" max="8757" width="8.83203125" style="39"/>
    <col min="8758" max="8765" width="9.1640625" style="39" bestFit="1" customWidth="1"/>
    <col min="8766" max="8767" width="8.83203125" style="39"/>
    <col min="8768" max="8768" width="11" style="39" bestFit="1" customWidth="1"/>
    <col min="8769" max="8773" width="8.83203125" style="39"/>
    <col min="8774" max="8781" width="9.1640625" style="39" bestFit="1" customWidth="1"/>
    <col min="8782" max="8783" width="8.83203125" style="39"/>
    <col min="8784" max="8784" width="11" style="39" bestFit="1" customWidth="1"/>
    <col min="8785" max="8789" width="8.83203125" style="39"/>
    <col min="8790" max="8797" width="9.1640625" style="39" bestFit="1" customWidth="1"/>
    <col min="8798" max="8799" width="8.83203125" style="39"/>
    <col min="8800" max="8800" width="11" style="39" bestFit="1" customWidth="1"/>
    <col min="8801" max="8805" width="8.83203125" style="39"/>
    <col min="8806" max="8813" width="9.1640625" style="39" bestFit="1" customWidth="1"/>
    <col min="8814" max="8815" width="8.83203125" style="39"/>
    <col min="8816" max="8816" width="11" style="39" bestFit="1" customWidth="1"/>
    <col min="8817" max="8821" width="8.83203125" style="39"/>
    <col min="8822" max="8829" width="9.1640625" style="39" bestFit="1" customWidth="1"/>
    <col min="8830" max="8831" width="8.83203125" style="39"/>
    <col min="8832" max="8832" width="11" style="39" bestFit="1" customWidth="1"/>
    <col min="8833" max="8837" width="8.83203125" style="39"/>
    <col min="8838" max="8845" width="9.1640625" style="39" bestFit="1" customWidth="1"/>
    <col min="8846" max="8847" width="8.83203125" style="39"/>
    <col min="8848" max="8848" width="11" style="39" bestFit="1" customWidth="1"/>
    <col min="8849" max="8853" width="8.83203125" style="39"/>
    <col min="8854" max="8861" width="9.1640625" style="39" bestFit="1" customWidth="1"/>
    <col min="8862" max="8863" width="8.83203125" style="39"/>
    <col min="8864" max="8864" width="11" style="39" bestFit="1" customWidth="1"/>
    <col min="8865" max="8869" width="8.83203125" style="39"/>
    <col min="8870" max="8877" width="9.1640625" style="39" bestFit="1" customWidth="1"/>
    <col min="8878" max="8879" width="8.83203125" style="39"/>
    <col min="8880" max="8880" width="11" style="39" bestFit="1" customWidth="1"/>
    <col min="8881" max="8885" width="8.83203125" style="39"/>
    <col min="8886" max="8893" width="9.1640625" style="39" bestFit="1" customWidth="1"/>
    <col min="8894" max="8895" width="8.83203125" style="39"/>
    <col min="8896" max="8896" width="11" style="39" bestFit="1" customWidth="1"/>
    <col min="8897" max="8901" width="8.83203125" style="39"/>
    <col min="8902" max="8909" width="9.1640625" style="39" bestFit="1" customWidth="1"/>
    <col min="8910" max="8911" width="8.83203125" style="39"/>
    <col min="8912" max="8912" width="11" style="39" bestFit="1" customWidth="1"/>
    <col min="8913" max="8917" width="8.83203125" style="39"/>
    <col min="8918" max="8925" width="9.1640625" style="39" bestFit="1" customWidth="1"/>
    <col min="8926" max="8927" width="8.83203125" style="39"/>
    <col min="8928" max="8928" width="11" style="39" bestFit="1" customWidth="1"/>
    <col min="8929" max="8933" width="8.83203125" style="39"/>
    <col min="8934" max="8941" width="9.1640625" style="39" bestFit="1" customWidth="1"/>
    <col min="8942" max="8943" width="8.83203125" style="39"/>
    <col min="8944" max="8944" width="11" style="39" bestFit="1" customWidth="1"/>
    <col min="8945" max="8949" width="8.83203125" style="39"/>
    <col min="8950" max="8957" width="9.1640625" style="39" bestFit="1" customWidth="1"/>
    <col min="8958" max="8959" width="8.83203125" style="39"/>
    <col min="8960" max="8960" width="11" style="39" bestFit="1" customWidth="1"/>
    <col min="8961" max="8965" width="8.83203125" style="39"/>
    <col min="8966" max="8973" width="9.1640625" style="39" bestFit="1" customWidth="1"/>
    <col min="8974" max="8975" width="8.83203125" style="39"/>
    <col min="8976" max="8976" width="11" style="39" bestFit="1" customWidth="1"/>
    <col min="8977" max="8981" width="8.83203125" style="39"/>
    <col min="8982" max="8989" width="9.1640625" style="39" bestFit="1" customWidth="1"/>
    <col min="8990" max="8991" width="8.83203125" style="39"/>
    <col min="8992" max="8992" width="11" style="39" bestFit="1" customWidth="1"/>
    <col min="8993" max="8997" width="8.83203125" style="39"/>
    <col min="8998" max="9005" width="9.1640625" style="39" bestFit="1" customWidth="1"/>
    <col min="9006" max="9007" width="8.83203125" style="39"/>
    <col min="9008" max="9008" width="11" style="39" bestFit="1" customWidth="1"/>
    <col min="9009" max="9013" width="8.83203125" style="39"/>
    <col min="9014" max="9021" width="9.1640625" style="39" bestFit="1" customWidth="1"/>
    <col min="9022" max="9023" width="8.83203125" style="39"/>
    <col min="9024" max="9024" width="11" style="39" bestFit="1" customWidth="1"/>
    <col min="9025" max="9029" width="8.83203125" style="39"/>
    <col min="9030" max="9037" width="9.1640625" style="39" bestFit="1" customWidth="1"/>
    <col min="9038" max="9039" width="8.83203125" style="39"/>
    <col min="9040" max="9040" width="11" style="39" bestFit="1" customWidth="1"/>
    <col min="9041" max="9045" width="8.83203125" style="39"/>
    <col min="9046" max="9053" width="9.1640625" style="39" bestFit="1" customWidth="1"/>
    <col min="9054" max="9055" width="8.83203125" style="39"/>
    <col min="9056" max="9056" width="11" style="39" bestFit="1" customWidth="1"/>
    <col min="9057" max="9061" width="8.83203125" style="39"/>
    <col min="9062" max="9069" width="9.1640625" style="39" bestFit="1" customWidth="1"/>
    <col min="9070" max="9071" width="8.83203125" style="39"/>
    <col min="9072" max="9072" width="11" style="39" bestFit="1" customWidth="1"/>
    <col min="9073" max="9077" width="8.83203125" style="39"/>
    <col min="9078" max="9085" width="9.1640625" style="39" bestFit="1" customWidth="1"/>
    <col min="9086" max="9087" width="8.83203125" style="39"/>
    <col min="9088" max="9088" width="11" style="39" bestFit="1" customWidth="1"/>
    <col min="9089" max="9093" width="8.83203125" style="39"/>
    <col min="9094" max="9101" width="9.1640625" style="39" bestFit="1" customWidth="1"/>
    <col min="9102" max="9103" width="8.83203125" style="39"/>
    <col min="9104" max="9104" width="11" style="39" bestFit="1" customWidth="1"/>
    <col min="9105" max="9109" width="8.83203125" style="39"/>
    <col min="9110" max="9117" width="9.1640625" style="39" bestFit="1" customWidth="1"/>
    <col min="9118" max="9119" width="8.83203125" style="39"/>
    <col min="9120" max="9120" width="11" style="39" bestFit="1" customWidth="1"/>
    <col min="9121" max="9125" width="8.83203125" style="39"/>
    <col min="9126" max="9133" width="9.1640625" style="39" bestFit="1" customWidth="1"/>
    <col min="9134" max="9135" width="8.83203125" style="39"/>
    <col min="9136" max="9136" width="11" style="39" bestFit="1" customWidth="1"/>
    <col min="9137" max="9141" width="8.83203125" style="39"/>
    <col min="9142" max="9149" width="9.1640625" style="39" bestFit="1" customWidth="1"/>
    <col min="9150" max="9151" width="8.83203125" style="39"/>
    <col min="9152" max="9152" width="11" style="39" bestFit="1" customWidth="1"/>
    <col min="9153" max="9157" width="8.83203125" style="39"/>
    <col min="9158" max="9165" width="9.1640625" style="39" bestFit="1" customWidth="1"/>
    <col min="9166" max="9167" width="8.83203125" style="39"/>
    <col min="9168" max="9168" width="11" style="39" bestFit="1" customWidth="1"/>
    <col min="9169" max="9173" width="8.83203125" style="39"/>
    <col min="9174" max="9181" width="9.1640625" style="39" bestFit="1" customWidth="1"/>
    <col min="9182" max="9183" width="8.83203125" style="39"/>
    <col min="9184" max="9184" width="11" style="39" bestFit="1" customWidth="1"/>
    <col min="9185" max="9189" width="8.83203125" style="39"/>
    <col min="9190" max="9197" width="9.1640625" style="39" bestFit="1" customWidth="1"/>
    <col min="9198" max="9199" width="8.83203125" style="39"/>
    <col min="9200" max="9200" width="11" style="39" bestFit="1" customWidth="1"/>
    <col min="9201" max="9205" width="8.83203125" style="39"/>
    <col min="9206" max="9213" width="9.1640625" style="39" bestFit="1" customWidth="1"/>
    <col min="9214" max="9215" width="8.83203125" style="39"/>
    <col min="9216" max="9216" width="11" style="39" bestFit="1" customWidth="1"/>
    <col min="9217" max="9221" width="8.83203125" style="39"/>
    <col min="9222" max="9229" width="9.1640625" style="39" bestFit="1" customWidth="1"/>
    <col min="9230" max="9231" width="8.83203125" style="39"/>
    <col min="9232" max="9232" width="11" style="39" bestFit="1" customWidth="1"/>
    <col min="9233" max="9237" width="8.83203125" style="39"/>
    <col min="9238" max="9245" width="9.1640625" style="39" bestFit="1" customWidth="1"/>
    <col min="9246" max="9247" width="8.83203125" style="39"/>
    <col min="9248" max="9248" width="11" style="39" bestFit="1" customWidth="1"/>
    <col min="9249" max="9253" width="8.83203125" style="39"/>
    <col min="9254" max="9261" width="9.1640625" style="39" bestFit="1" customWidth="1"/>
    <col min="9262" max="9263" width="8.83203125" style="39"/>
    <col min="9264" max="9264" width="11" style="39" bestFit="1" customWidth="1"/>
    <col min="9265" max="9269" width="8.83203125" style="39"/>
    <col min="9270" max="9277" width="9.1640625" style="39" bestFit="1" customWidth="1"/>
    <col min="9278" max="9279" width="8.83203125" style="39"/>
    <col min="9280" max="9280" width="11" style="39" bestFit="1" customWidth="1"/>
    <col min="9281" max="9285" width="8.83203125" style="39"/>
    <col min="9286" max="9293" width="9.1640625" style="39" bestFit="1" customWidth="1"/>
    <col min="9294" max="9295" width="8.83203125" style="39"/>
    <col min="9296" max="9296" width="11" style="39" bestFit="1" customWidth="1"/>
    <col min="9297" max="9301" width="8.83203125" style="39"/>
    <col min="9302" max="9309" width="9.1640625" style="39" bestFit="1" customWidth="1"/>
    <col min="9310" max="9311" width="8.83203125" style="39"/>
    <col min="9312" max="9312" width="11" style="39" bestFit="1" customWidth="1"/>
    <col min="9313" max="9317" width="8.83203125" style="39"/>
    <col min="9318" max="9325" width="9.1640625" style="39" bestFit="1" customWidth="1"/>
    <col min="9326" max="9327" width="8.83203125" style="39"/>
    <col min="9328" max="9328" width="11" style="39" bestFit="1" customWidth="1"/>
    <col min="9329" max="9333" width="8.83203125" style="39"/>
    <col min="9334" max="9341" width="9.1640625" style="39" bestFit="1" customWidth="1"/>
    <col min="9342" max="9343" width="8.83203125" style="39"/>
    <col min="9344" max="9344" width="11" style="39" bestFit="1" customWidth="1"/>
    <col min="9345" max="9349" width="8.83203125" style="39"/>
    <col min="9350" max="9357" width="9.1640625" style="39" bestFit="1" customWidth="1"/>
    <col min="9358" max="9359" width="8.83203125" style="39"/>
    <col min="9360" max="9360" width="11" style="39" bestFit="1" customWidth="1"/>
    <col min="9361" max="9365" width="8.83203125" style="39"/>
    <col min="9366" max="9373" width="9.1640625" style="39" bestFit="1" customWidth="1"/>
    <col min="9374" max="9375" width="8.83203125" style="39"/>
    <col min="9376" max="9376" width="11" style="39" bestFit="1" customWidth="1"/>
    <col min="9377" max="9381" width="8.83203125" style="39"/>
    <col min="9382" max="9389" width="9.1640625" style="39" bestFit="1" customWidth="1"/>
    <col min="9390" max="9391" width="8.83203125" style="39"/>
    <col min="9392" max="9392" width="11" style="39" bestFit="1" customWidth="1"/>
    <col min="9393" max="9397" width="8.83203125" style="39"/>
    <col min="9398" max="9405" width="9.1640625" style="39" bestFit="1" customWidth="1"/>
    <col min="9406" max="9407" width="8.83203125" style="39"/>
    <col min="9408" max="9408" width="11" style="39" bestFit="1" customWidth="1"/>
    <col min="9409" max="9413" width="8.83203125" style="39"/>
    <col min="9414" max="9421" width="9.1640625" style="39" bestFit="1" customWidth="1"/>
    <col min="9422" max="9423" width="8.83203125" style="39"/>
    <col min="9424" max="9424" width="11" style="39" bestFit="1" customWidth="1"/>
    <col min="9425" max="9429" width="8.83203125" style="39"/>
    <col min="9430" max="9437" width="9.1640625" style="39" bestFit="1" customWidth="1"/>
    <col min="9438" max="9439" width="8.83203125" style="39"/>
    <col min="9440" max="9440" width="11" style="39" bestFit="1" customWidth="1"/>
    <col min="9441" max="9445" width="8.83203125" style="39"/>
    <col min="9446" max="9453" width="9.1640625" style="39" bestFit="1" customWidth="1"/>
    <col min="9454" max="9455" width="8.83203125" style="39"/>
    <col min="9456" max="9456" width="11" style="39" bestFit="1" customWidth="1"/>
    <col min="9457" max="9461" width="8.83203125" style="39"/>
    <col min="9462" max="9469" width="9.1640625" style="39" bestFit="1" customWidth="1"/>
    <col min="9470" max="9471" width="8.83203125" style="39"/>
    <col min="9472" max="9472" width="11" style="39" bestFit="1" customWidth="1"/>
    <col min="9473" max="9477" width="8.83203125" style="39"/>
    <col min="9478" max="9485" width="9.1640625" style="39" bestFit="1" customWidth="1"/>
    <col min="9486" max="9487" width="8.83203125" style="39"/>
    <col min="9488" max="9488" width="11" style="39" bestFit="1" customWidth="1"/>
    <col min="9489" max="9493" width="8.83203125" style="39"/>
    <col min="9494" max="9501" width="9.1640625" style="39" bestFit="1" customWidth="1"/>
    <col min="9502" max="9503" width="8.83203125" style="39"/>
    <col min="9504" max="9504" width="11" style="39" bestFit="1" customWidth="1"/>
    <col min="9505" max="9509" width="8.83203125" style="39"/>
    <col min="9510" max="9517" width="9.1640625" style="39" bestFit="1" customWidth="1"/>
    <col min="9518" max="9519" width="8.83203125" style="39"/>
    <col min="9520" max="9520" width="11" style="39" bestFit="1" customWidth="1"/>
    <col min="9521" max="9525" width="8.83203125" style="39"/>
    <col min="9526" max="9533" width="9.1640625" style="39" bestFit="1" customWidth="1"/>
    <col min="9534" max="9535" width="8.83203125" style="39"/>
    <col min="9536" max="9536" width="11" style="39" bestFit="1" customWidth="1"/>
    <col min="9537" max="9541" width="8.83203125" style="39"/>
    <col min="9542" max="9549" width="9.1640625" style="39" bestFit="1" customWidth="1"/>
    <col min="9550" max="9551" width="8.83203125" style="39"/>
    <col min="9552" max="9552" width="11" style="39" bestFit="1" customWidth="1"/>
    <col min="9553" max="9557" width="8.83203125" style="39"/>
    <col min="9558" max="9565" width="9.1640625" style="39" bestFit="1" customWidth="1"/>
    <col min="9566" max="9567" width="8.83203125" style="39"/>
    <col min="9568" max="9568" width="11" style="39" bestFit="1" customWidth="1"/>
    <col min="9569" max="9573" width="8.83203125" style="39"/>
    <col min="9574" max="9581" width="9.1640625" style="39" bestFit="1" customWidth="1"/>
    <col min="9582" max="9583" width="8.83203125" style="39"/>
    <col min="9584" max="9584" width="11" style="39" bestFit="1" customWidth="1"/>
    <col min="9585" max="9589" width="8.83203125" style="39"/>
    <col min="9590" max="9597" width="9.1640625" style="39" bestFit="1" customWidth="1"/>
    <col min="9598" max="9599" width="8.83203125" style="39"/>
    <col min="9600" max="9600" width="11" style="39" bestFit="1" customWidth="1"/>
    <col min="9601" max="9605" width="8.83203125" style="39"/>
    <col min="9606" max="9613" width="9.1640625" style="39" bestFit="1" customWidth="1"/>
    <col min="9614" max="9615" width="8.83203125" style="39"/>
    <col min="9616" max="9616" width="11" style="39" bestFit="1" customWidth="1"/>
    <col min="9617" max="9621" width="8.83203125" style="39"/>
    <col min="9622" max="9629" width="9.1640625" style="39" bestFit="1" customWidth="1"/>
    <col min="9630" max="9631" width="8.83203125" style="39"/>
    <col min="9632" max="9632" width="11" style="39" bestFit="1" customWidth="1"/>
    <col min="9633" max="9637" width="8.83203125" style="39"/>
    <col min="9638" max="9645" width="9.1640625" style="39" bestFit="1" customWidth="1"/>
    <col min="9646" max="9647" width="8.83203125" style="39"/>
    <col min="9648" max="9648" width="11" style="39" bestFit="1" customWidth="1"/>
    <col min="9649" max="9653" width="8.83203125" style="39"/>
    <col min="9654" max="9661" width="9.1640625" style="39" bestFit="1" customWidth="1"/>
    <col min="9662" max="9663" width="8.83203125" style="39"/>
    <col min="9664" max="9664" width="11" style="39" bestFit="1" customWidth="1"/>
    <col min="9665" max="9669" width="8.83203125" style="39"/>
    <col min="9670" max="9677" width="9.1640625" style="39" bestFit="1" customWidth="1"/>
    <col min="9678" max="9679" width="8.83203125" style="39"/>
    <col min="9680" max="9680" width="11" style="39" bestFit="1" customWidth="1"/>
    <col min="9681" max="9685" width="8.83203125" style="39"/>
    <col min="9686" max="9693" width="9.1640625" style="39" bestFit="1" customWidth="1"/>
    <col min="9694" max="9695" width="8.83203125" style="39"/>
    <col min="9696" max="9696" width="11" style="39" bestFit="1" customWidth="1"/>
    <col min="9697" max="9701" width="8.83203125" style="39"/>
    <col min="9702" max="9709" width="9.1640625" style="39" bestFit="1" customWidth="1"/>
    <col min="9710" max="9711" width="8.83203125" style="39"/>
    <col min="9712" max="9712" width="11" style="39" bestFit="1" customWidth="1"/>
    <col min="9713" max="9717" width="8.83203125" style="39"/>
    <col min="9718" max="9725" width="9.1640625" style="39" bestFit="1" customWidth="1"/>
    <col min="9726" max="9727" width="8.83203125" style="39"/>
    <col min="9728" max="9728" width="11" style="39" bestFit="1" customWidth="1"/>
    <col min="9729" max="9733" width="8.83203125" style="39"/>
    <col min="9734" max="9741" width="9.1640625" style="39" bestFit="1" customWidth="1"/>
    <col min="9742" max="9743" width="8.83203125" style="39"/>
    <col min="9744" max="9744" width="11" style="39" bestFit="1" customWidth="1"/>
    <col min="9745" max="9749" width="8.83203125" style="39"/>
    <col min="9750" max="9757" width="9.1640625" style="39" bestFit="1" customWidth="1"/>
    <col min="9758" max="9759" width="8.83203125" style="39"/>
    <col min="9760" max="9760" width="11" style="39" bestFit="1" customWidth="1"/>
    <col min="9761" max="9765" width="8.83203125" style="39"/>
    <col min="9766" max="9773" width="9.1640625" style="39" bestFit="1" customWidth="1"/>
    <col min="9774" max="9775" width="8.83203125" style="39"/>
    <col min="9776" max="9776" width="11" style="39" bestFit="1" customWidth="1"/>
    <col min="9777" max="9781" width="8.83203125" style="39"/>
    <col min="9782" max="9789" width="9.1640625" style="39" bestFit="1" customWidth="1"/>
    <col min="9790" max="9791" width="8.83203125" style="39"/>
    <col min="9792" max="9792" width="11" style="39" bestFit="1" customWidth="1"/>
    <col min="9793" max="9797" width="8.83203125" style="39"/>
    <col min="9798" max="9805" width="9.1640625" style="39" bestFit="1" customWidth="1"/>
    <col min="9806" max="9807" width="8.83203125" style="39"/>
    <col min="9808" max="9808" width="11" style="39" bestFit="1" customWidth="1"/>
    <col min="9809" max="9813" width="8.83203125" style="39"/>
    <col min="9814" max="9821" width="9.1640625" style="39" bestFit="1" customWidth="1"/>
    <col min="9822" max="9823" width="8.83203125" style="39"/>
    <col min="9824" max="9824" width="11" style="39" bestFit="1" customWidth="1"/>
    <col min="9825" max="9829" width="8.83203125" style="39"/>
    <col min="9830" max="9837" width="9.1640625" style="39" bestFit="1" customWidth="1"/>
    <col min="9838" max="9839" width="8.83203125" style="39"/>
    <col min="9840" max="9840" width="11" style="39" bestFit="1" customWidth="1"/>
    <col min="9841" max="9845" width="8.83203125" style="39"/>
    <col min="9846" max="9853" width="9.1640625" style="39" bestFit="1" customWidth="1"/>
    <col min="9854" max="9855" width="8.83203125" style="39"/>
    <col min="9856" max="9856" width="11" style="39" bestFit="1" customWidth="1"/>
    <col min="9857" max="9861" width="8.83203125" style="39"/>
    <col min="9862" max="9869" width="9.1640625" style="39" bestFit="1" customWidth="1"/>
    <col min="9870" max="9871" width="8.83203125" style="39"/>
    <col min="9872" max="9872" width="11" style="39" bestFit="1" customWidth="1"/>
    <col min="9873" max="9877" width="8.83203125" style="39"/>
    <col min="9878" max="9885" width="9.1640625" style="39" bestFit="1" customWidth="1"/>
    <col min="9886" max="9887" width="8.83203125" style="39"/>
    <col min="9888" max="9888" width="11" style="39" bestFit="1" customWidth="1"/>
    <col min="9889" max="9893" width="8.83203125" style="39"/>
    <col min="9894" max="9901" width="9.1640625" style="39" bestFit="1" customWidth="1"/>
    <col min="9902" max="9903" width="8.83203125" style="39"/>
    <col min="9904" max="9904" width="11" style="39" bestFit="1" customWidth="1"/>
    <col min="9905" max="9909" width="8.83203125" style="39"/>
    <col min="9910" max="9917" width="9.1640625" style="39" bestFit="1" customWidth="1"/>
    <col min="9918" max="9919" width="8.83203125" style="39"/>
    <col min="9920" max="9920" width="11" style="39" bestFit="1" customWidth="1"/>
    <col min="9921" max="9925" width="8.83203125" style="39"/>
    <col min="9926" max="9933" width="9.1640625" style="39" bestFit="1" customWidth="1"/>
    <col min="9934" max="9935" width="8.83203125" style="39"/>
    <col min="9936" max="9936" width="11" style="39" bestFit="1" customWidth="1"/>
    <col min="9937" max="9941" width="8.83203125" style="39"/>
    <col min="9942" max="9949" width="9.1640625" style="39" bestFit="1" customWidth="1"/>
    <col min="9950" max="9951" width="8.83203125" style="39"/>
    <col min="9952" max="9952" width="11" style="39" bestFit="1" customWidth="1"/>
    <col min="9953" max="9957" width="8.83203125" style="39"/>
    <col min="9958" max="9965" width="9.1640625" style="39" bestFit="1" customWidth="1"/>
    <col min="9966" max="9967" width="8.83203125" style="39"/>
    <col min="9968" max="9968" width="11" style="39" bestFit="1" customWidth="1"/>
    <col min="9969" max="9973" width="8.83203125" style="39"/>
    <col min="9974" max="9981" width="9.1640625" style="39" bestFit="1" customWidth="1"/>
    <col min="9982" max="9983" width="8.83203125" style="39"/>
    <col min="9984" max="9984" width="11" style="39" bestFit="1" customWidth="1"/>
    <col min="9985" max="9989" width="8.83203125" style="39"/>
    <col min="9990" max="9997" width="9.1640625" style="39" bestFit="1" customWidth="1"/>
    <col min="9998" max="9999" width="8.83203125" style="39"/>
    <col min="10000" max="10000" width="11" style="39" bestFit="1" customWidth="1"/>
    <col min="10001" max="10005" width="8.83203125" style="39"/>
    <col min="10006" max="10013" width="9.1640625" style="39" bestFit="1" customWidth="1"/>
    <col min="10014" max="10015" width="8.83203125" style="39"/>
    <col min="10016" max="10016" width="11" style="39" bestFit="1" customWidth="1"/>
    <col min="10017" max="10021" width="8.83203125" style="39"/>
    <col min="10022" max="10029" width="9.1640625" style="39" bestFit="1" customWidth="1"/>
    <col min="10030" max="10031" width="8.83203125" style="39"/>
    <col min="10032" max="10032" width="11" style="39" bestFit="1" customWidth="1"/>
    <col min="10033" max="10037" width="8.83203125" style="39"/>
    <col min="10038" max="10045" width="9.1640625" style="39" bestFit="1" customWidth="1"/>
    <col min="10046" max="10047" width="8.83203125" style="39"/>
    <col min="10048" max="10048" width="11" style="39" bestFit="1" customWidth="1"/>
    <col min="10049" max="10053" width="8.83203125" style="39"/>
    <col min="10054" max="10061" width="9.1640625" style="39" bestFit="1" customWidth="1"/>
    <col min="10062" max="10063" width="8.83203125" style="39"/>
    <col min="10064" max="10064" width="11" style="39" bestFit="1" customWidth="1"/>
    <col min="10065" max="10069" width="8.83203125" style="39"/>
    <col min="10070" max="10077" width="9.1640625" style="39" bestFit="1" customWidth="1"/>
    <col min="10078" max="10079" width="8.83203125" style="39"/>
    <col min="10080" max="10080" width="11" style="39" bestFit="1" customWidth="1"/>
    <col min="10081" max="10085" width="8.83203125" style="39"/>
    <col min="10086" max="10093" width="9.1640625" style="39" bestFit="1" customWidth="1"/>
    <col min="10094" max="10095" width="8.83203125" style="39"/>
    <col min="10096" max="10096" width="11" style="39" bestFit="1" customWidth="1"/>
    <col min="10097" max="10101" width="8.83203125" style="39"/>
    <col min="10102" max="10109" width="9.1640625" style="39" bestFit="1" customWidth="1"/>
    <col min="10110" max="10111" width="8.83203125" style="39"/>
    <col min="10112" max="10112" width="11" style="39" bestFit="1" customWidth="1"/>
    <col min="10113" max="10117" width="8.83203125" style="39"/>
    <col min="10118" max="10125" width="9.1640625" style="39" bestFit="1" customWidth="1"/>
    <col min="10126" max="10127" width="8.83203125" style="39"/>
    <col min="10128" max="10128" width="11" style="39" bestFit="1" customWidth="1"/>
    <col min="10129" max="10133" width="8.83203125" style="39"/>
    <col min="10134" max="10141" width="9.1640625" style="39" bestFit="1" customWidth="1"/>
    <col min="10142" max="10143" width="8.83203125" style="39"/>
    <col min="10144" max="10144" width="11" style="39" bestFit="1" customWidth="1"/>
    <col min="10145" max="10149" width="8.83203125" style="39"/>
    <col min="10150" max="10157" width="9.1640625" style="39" bestFit="1" customWidth="1"/>
    <col min="10158" max="10159" width="8.83203125" style="39"/>
    <col min="10160" max="10160" width="11" style="39" bestFit="1" customWidth="1"/>
    <col min="10161" max="10165" width="8.83203125" style="39"/>
    <col min="10166" max="10173" width="9.1640625" style="39" bestFit="1" customWidth="1"/>
    <col min="10174" max="10175" width="8.83203125" style="39"/>
    <col min="10176" max="10176" width="11" style="39" bestFit="1" customWidth="1"/>
    <col min="10177" max="10181" width="8.83203125" style="39"/>
    <col min="10182" max="10189" width="9.1640625" style="39" bestFit="1" customWidth="1"/>
    <col min="10190" max="10191" width="8.83203125" style="39"/>
    <col min="10192" max="10192" width="11" style="39" bestFit="1" customWidth="1"/>
    <col min="10193" max="10197" width="8.83203125" style="39"/>
    <col min="10198" max="10205" width="9.1640625" style="39" bestFit="1" customWidth="1"/>
    <col min="10206" max="10207" width="8.83203125" style="39"/>
    <col min="10208" max="10208" width="11" style="39" bestFit="1" customWidth="1"/>
    <col min="10209" max="10213" width="8.83203125" style="39"/>
    <col min="10214" max="10221" width="9.1640625" style="39" bestFit="1" customWidth="1"/>
    <col min="10222" max="10223" width="8.83203125" style="39"/>
    <col min="10224" max="10224" width="11" style="39" bestFit="1" customWidth="1"/>
    <col min="10225" max="10229" width="8.83203125" style="39"/>
    <col min="10230" max="10237" width="9.1640625" style="39" bestFit="1" customWidth="1"/>
    <col min="10238" max="10239" width="8.83203125" style="39"/>
    <col min="10240" max="10240" width="11" style="39" bestFit="1" customWidth="1"/>
    <col min="10241" max="10245" width="8.83203125" style="39"/>
    <col min="10246" max="10253" width="9.1640625" style="39" bestFit="1" customWidth="1"/>
    <col min="10254" max="10255" width="8.83203125" style="39"/>
    <col min="10256" max="10256" width="11" style="39" bestFit="1" customWidth="1"/>
    <col min="10257" max="10261" width="8.83203125" style="39"/>
    <col min="10262" max="10269" width="9.1640625" style="39" bestFit="1" customWidth="1"/>
    <col min="10270" max="10271" width="8.83203125" style="39"/>
    <col min="10272" max="10272" width="11" style="39" bestFit="1" customWidth="1"/>
    <col min="10273" max="10277" width="8.83203125" style="39"/>
    <col min="10278" max="10285" width="9.1640625" style="39" bestFit="1" customWidth="1"/>
    <col min="10286" max="10287" width="8.83203125" style="39"/>
    <col min="10288" max="10288" width="11" style="39" bestFit="1" customWidth="1"/>
    <col min="10289" max="10293" width="8.83203125" style="39"/>
    <col min="10294" max="10301" width="9.1640625" style="39" bestFit="1" customWidth="1"/>
    <col min="10302" max="10303" width="8.83203125" style="39"/>
    <col min="10304" max="10304" width="11" style="39" bestFit="1" customWidth="1"/>
    <col min="10305" max="10309" width="8.83203125" style="39"/>
    <col min="10310" max="10317" width="9.1640625" style="39" bestFit="1" customWidth="1"/>
    <col min="10318" max="10319" width="8.83203125" style="39"/>
    <col min="10320" max="10320" width="11" style="39" bestFit="1" customWidth="1"/>
    <col min="10321" max="10325" width="8.83203125" style="39"/>
    <col min="10326" max="10333" width="9.1640625" style="39" bestFit="1" customWidth="1"/>
    <col min="10334" max="10335" width="8.83203125" style="39"/>
    <col min="10336" max="10336" width="11" style="39" bestFit="1" customWidth="1"/>
    <col min="10337" max="10341" width="8.83203125" style="39"/>
    <col min="10342" max="10349" width="9.1640625" style="39" bestFit="1" customWidth="1"/>
    <col min="10350" max="10351" width="8.83203125" style="39"/>
    <col min="10352" max="10352" width="11" style="39" bestFit="1" customWidth="1"/>
    <col min="10353" max="10357" width="8.83203125" style="39"/>
    <col min="10358" max="10365" width="9.1640625" style="39" bestFit="1" customWidth="1"/>
    <col min="10366" max="10367" width="8.83203125" style="39"/>
    <col min="10368" max="10368" width="11" style="39" bestFit="1" customWidth="1"/>
    <col min="10369" max="10373" width="8.83203125" style="39"/>
    <col min="10374" max="10381" width="9.1640625" style="39" bestFit="1" customWidth="1"/>
    <col min="10382" max="10383" width="8.83203125" style="39"/>
    <col min="10384" max="10384" width="11" style="39" bestFit="1" customWidth="1"/>
    <col min="10385" max="10389" width="8.83203125" style="39"/>
    <col min="10390" max="10397" width="9.1640625" style="39" bestFit="1" customWidth="1"/>
    <col min="10398" max="10399" width="8.83203125" style="39"/>
    <col min="10400" max="10400" width="11" style="39" bestFit="1" customWidth="1"/>
    <col min="10401" max="10405" width="8.83203125" style="39"/>
    <col min="10406" max="10413" width="9.1640625" style="39" bestFit="1" customWidth="1"/>
    <col min="10414" max="10415" width="8.83203125" style="39"/>
    <col min="10416" max="10416" width="11" style="39" bestFit="1" customWidth="1"/>
    <col min="10417" max="10421" width="8.83203125" style="39"/>
    <col min="10422" max="10429" width="9.1640625" style="39" bestFit="1" customWidth="1"/>
    <col min="10430" max="10431" width="8.83203125" style="39"/>
    <col min="10432" max="10432" width="11" style="39" bestFit="1" customWidth="1"/>
    <col min="10433" max="10437" width="8.83203125" style="39"/>
    <col min="10438" max="10445" width="9.1640625" style="39" bestFit="1" customWidth="1"/>
    <col min="10446" max="10447" width="8.83203125" style="39"/>
    <col min="10448" max="10448" width="11" style="39" bestFit="1" customWidth="1"/>
    <col min="10449" max="10453" width="8.83203125" style="39"/>
    <col min="10454" max="10461" width="9.1640625" style="39" bestFit="1" customWidth="1"/>
    <col min="10462" max="10463" width="8.83203125" style="39"/>
    <col min="10464" max="10464" width="11" style="39" bestFit="1" customWidth="1"/>
    <col min="10465" max="10469" width="8.83203125" style="39"/>
    <col min="10470" max="10477" width="9.1640625" style="39" bestFit="1" customWidth="1"/>
    <col min="10478" max="10479" width="8.83203125" style="39"/>
    <col min="10480" max="10480" width="11" style="39" bestFit="1" customWidth="1"/>
    <col min="10481" max="10485" width="8.83203125" style="39"/>
    <col min="10486" max="10493" width="9.1640625" style="39" bestFit="1" customWidth="1"/>
    <col min="10494" max="10495" width="8.83203125" style="39"/>
    <col min="10496" max="10496" width="11" style="39" bestFit="1" customWidth="1"/>
    <col min="10497" max="10501" width="8.83203125" style="39"/>
    <col min="10502" max="10509" width="9.1640625" style="39" bestFit="1" customWidth="1"/>
    <col min="10510" max="10511" width="8.83203125" style="39"/>
    <col min="10512" max="10512" width="11" style="39" bestFit="1" customWidth="1"/>
    <col min="10513" max="10517" width="8.83203125" style="39"/>
    <col min="10518" max="10525" width="9.1640625" style="39" bestFit="1" customWidth="1"/>
    <col min="10526" max="10527" width="8.83203125" style="39"/>
    <col min="10528" max="10528" width="11" style="39" bestFit="1" customWidth="1"/>
    <col min="10529" max="10533" width="8.83203125" style="39"/>
    <col min="10534" max="10541" width="9.1640625" style="39" bestFit="1" customWidth="1"/>
    <col min="10542" max="10543" width="8.83203125" style="39"/>
    <col min="10544" max="10544" width="11" style="39" bestFit="1" customWidth="1"/>
    <col min="10545" max="10549" width="8.83203125" style="39"/>
    <col min="10550" max="10557" width="9.1640625" style="39" bestFit="1" customWidth="1"/>
    <col min="10558" max="10559" width="8.83203125" style="39"/>
    <col min="10560" max="10560" width="11" style="39" bestFit="1" customWidth="1"/>
    <col min="10561" max="10565" width="8.83203125" style="39"/>
    <col min="10566" max="10573" width="9.1640625" style="39" bestFit="1" customWidth="1"/>
    <col min="10574" max="10575" width="8.83203125" style="39"/>
    <col min="10576" max="10576" width="11" style="39" bestFit="1" customWidth="1"/>
    <col min="10577" max="10581" width="8.83203125" style="39"/>
    <col min="10582" max="10589" width="9.1640625" style="39" bestFit="1" customWidth="1"/>
    <col min="10590" max="10591" width="8.83203125" style="39"/>
    <col min="10592" max="10592" width="11" style="39" bestFit="1" customWidth="1"/>
    <col min="10593" max="10597" width="8.83203125" style="39"/>
    <col min="10598" max="10605" width="9.1640625" style="39" bestFit="1" customWidth="1"/>
    <col min="10606" max="10607" width="8.83203125" style="39"/>
    <col min="10608" max="10608" width="11" style="39" bestFit="1" customWidth="1"/>
    <col min="10609" max="10613" width="8.83203125" style="39"/>
    <col min="10614" max="10621" width="9.1640625" style="39" bestFit="1" customWidth="1"/>
    <col min="10622" max="10623" width="8.83203125" style="39"/>
    <col min="10624" max="10624" width="11" style="39" bestFit="1" customWidth="1"/>
    <col min="10625" max="10629" width="8.83203125" style="39"/>
    <col min="10630" max="10637" width="9.1640625" style="39" bestFit="1" customWidth="1"/>
    <col min="10638" max="10639" width="8.83203125" style="39"/>
    <col min="10640" max="10640" width="11" style="39" bestFit="1" customWidth="1"/>
    <col min="10641" max="10645" width="8.83203125" style="39"/>
    <col min="10646" max="10653" width="9.1640625" style="39" bestFit="1" customWidth="1"/>
    <col min="10654" max="10655" width="8.83203125" style="39"/>
    <col min="10656" max="10656" width="11" style="39" bestFit="1" customWidth="1"/>
    <col min="10657" max="10661" width="8.83203125" style="39"/>
    <col min="10662" max="10669" width="9.1640625" style="39" bestFit="1" customWidth="1"/>
    <col min="10670" max="10671" width="8.83203125" style="39"/>
    <col min="10672" max="10672" width="11" style="39" bestFit="1" customWidth="1"/>
    <col min="10673" max="10677" width="8.83203125" style="39"/>
    <col min="10678" max="10685" width="9.1640625" style="39" bestFit="1" customWidth="1"/>
    <col min="10686" max="10687" width="8.83203125" style="39"/>
    <col min="10688" max="10688" width="11" style="39" bestFit="1" customWidth="1"/>
    <col min="10689" max="10693" width="8.83203125" style="39"/>
    <col min="10694" max="10701" width="9.1640625" style="39" bestFit="1" customWidth="1"/>
    <col min="10702" max="10703" width="8.83203125" style="39"/>
    <col min="10704" max="10704" width="11" style="39" bestFit="1" customWidth="1"/>
    <col min="10705" max="10709" width="8.83203125" style="39"/>
    <col min="10710" max="10717" width="9.1640625" style="39" bestFit="1" customWidth="1"/>
    <col min="10718" max="10719" width="8.83203125" style="39"/>
    <col min="10720" max="10720" width="11" style="39" bestFit="1" customWidth="1"/>
    <col min="10721" max="10725" width="8.83203125" style="39"/>
    <col min="10726" max="10733" width="9.1640625" style="39" bestFit="1" customWidth="1"/>
    <col min="10734" max="10735" width="8.83203125" style="39"/>
    <col min="10736" max="10736" width="11" style="39" bestFit="1" customWidth="1"/>
    <col min="10737" max="10741" width="8.83203125" style="39"/>
    <col min="10742" max="10749" width="9.1640625" style="39" bestFit="1" customWidth="1"/>
    <col min="10750" max="10751" width="8.83203125" style="39"/>
    <col min="10752" max="10752" width="11" style="39" bestFit="1" customWidth="1"/>
    <col min="10753" max="10757" width="8.83203125" style="39"/>
    <col min="10758" max="10765" width="9.1640625" style="39" bestFit="1" customWidth="1"/>
    <col min="10766" max="10767" width="8.83203125" style="39"/>
    <col min="10768" max="10768" width="11" style="39" bestFit="1" customWidth="1"/>
    <col min="10769" max="10773" width="8.83203125" style="39"/>
    <col min="10774" max="10781" width="9.1640625" style="39" bestFit="1" customWidth="1"/>
    <col min="10782" max="10783" width="8.83203125" style="39"/>
    <col min="10784" max="10784" width="11" style="39" bestFit="1" customWidth="1"/>
    <col min="10785" max="10789" width="8.83203125" style="39"/>
    <col min="10790" max="10797" width="9.1640625" style="39" bestFit="1" customWidth="1"/>
    <col min="10798" max="10799" width="8.83203125" style="39"/>
    <col min="10800" max="10800" width="11" style="39" bestFit="1" customWidth="1"/>
    <col min="10801" max="10805" width="8.83203125" style="39"/>
    <col min="10806" max="10813" width="9.1640625" style="39" bestFit="1" customWidth="1"/>
    <col min="10814" max="10815" width="8.83203125" style="39"/>
    <col min="10816" max="10816" width="11" style="39" bestFit="1" customWidth="1"/>
    <col min="10817" max="10821" width="8.83203125" style="39"/>
    <col min="10822" max="10829" width="9.1640625" style="39" bestFit="1" customWidth="1"/>
    <col min="10830" max="10831" width="8.83203125" style="39"/>
    <col min="10832" max="10832" width="11" style="39" bestFit="1" customWidth="1"/>
    <col min="10833" max="10837" width="8.83203125" style="39"/>
    <col min="10838" max="10845" width="9.1640625" style="39" bestFit="1" customWidth="1"/>
    <col min="10846" max="10847" width="8.83203125" style="39"/>
    <col min="10848" max="10848" width="11" style="39" bestFit="1" customWidth="1"/>
    <col min="10849" max="10853" width="8.83203125" style="39"/>
    <col min="10854" max="10861" width="9.1640625" style="39" bestFit="1" customWidth="1"/>
    <col min="10862" max="10863" width="8.83203125" style="39"/>
    <col min="10864" max="10864" width="11" style="39" bestFit="1" customWidth="1"/>
    <col min="10865" max="10869" width="8.83203125" style="39"/>
    <col min="10870" max="10877" width="9.1640625" style="39" bestFit="1" customWidth="1"/>
    <col min="10878" max="10879" width="8.83203125" style="39"/>
    <col min="10880" max="10880" width="11" style="39" bestFit="1" customWidth="1"/>
    <col min="10881" max="10885" width="8.83203125" style="39"/>
    <col min="10886" max="10893" width="9.1640625" style="39" bestFit="1" customWidth="1"/>
    <col min="10894" max="10895" width="8.83203125" style="39"/>
    <col min="10896" max="10896" width="11" style="39" bestFit="1" customWidth="1"/>
    <col min="10897" max="10901" width="8.83203125" style="39"/>
    <col min="10902" max="10909" width="9.1640625" style="39" bestFit="1" customWidth="1"/>
    <col min="10910" max="10911" width="8.83203125" style="39"/>
    <col min="10912" max="10912" width="11" style="39" bestFit="1" customWidth="1"/>
    <col min="10913" max="10917" width="8.83203125" style="39"/>
    <col min="10918" max="10925" width="9.1640625" style="39" bestFit="1" customWidth="1"/>
    <col min="10926" max="10927" width="8.83203125" style="39"/>
    <col min="10928" max="10928" width="11" style="39" bestFit="1" customWidth="1"/>
    <col min="10929" max="10933" width="8.83203125" style="39"/>
    <col min="10934" max="10941" width="9.1640625" style="39" bestFit="1" customWidth="1"/>
    <col min="10942" max="10943" width="8.83203125" style="39"/>
    <col min="10944" max="10944" width="11" style="39" bestFit="1" customWidth="1"/>
    <col min="10945" max="10949" width="8.83203125" style="39"/>
    <col min="10950" max="10957" width="9.1640625" style="39" bestFit="1" customWidth="1"/>
    <col min="10958" max="10959" width="8.83203125" style="39"/>
    <col min="10960" max="10960" width="11" style="39" bestFit="1" customWidth="1"/>
    <col min="10961" max="10965" width="8.83203125" style="39"/>
    <col min="10966" max="10973" width="9.1640625" style="39" bestFit="1" customWidth="1"/>
    <col min="10974" max="10975" width="8.83203125" style="39"/>
    <col min="10976" max="10976" width="11" style="39" bestFit="1" customWidth="1"/>
    <col min="10977" max="10981" width="8.83203125" style="39"/>
    <col min="10982" max="10989" width="9.1640625" style="39" bestFit="1" customWidth="1"/>
    <col min="10990" max="10991" width="8.83203125" style="39"/>
    <col min="10992" max="10992" width="11" style="39" bestFit="1" customWidth="1"/>
    <col min="10993" max="10997" width="8.83203125" style="39"/>
    <col min="10998" max="11005" width="9.1640625" style="39" bestFit="1" customWidth="1"/>
    <col min="11006" max="11007" width="8.83203125" style="39"/>
    <col min="11008" max="11008" width="11" style="39" bestFit="1" customWidth="1"/>
    <col min="11009" max="11013" width="8.83203125" style="39"/>
    <col min="11014" max="11021" width="9.1640625" style="39" bestFit="1" customWidth="1"/>
    <col min="11022" max="11023" width="8.83203125" style="39"/>
    <col min="11024" max="11024" width="11" style="39" bestFit="1" customWidth="1"/>
    <col min="11025" max="11029" width="8.83203125" style="39"/>
    <col min="11030" max="11037" width="9.1640625" style="39" bestFit="1" customWidth="1"/>
    <col min="11038" max="11039" width="8.83203125" style="39"/>
    <col min="11040" max="11040" width="11" style="39" bestFit="1" customWidth="1"/>
    <col min="11041" max="11045" width="8.83203125" style="39"/>
    <col min="11046" max="11053" width="9.1640625" style="39" bestFit="1" customWidth="1"/>
    <col min="11054" max="11055" width="8.83203125" style="39"/>
    <col min="11056" max="11056" width="11" style="39" bestFit="1" customWidth="1"/>
    <col min="11057" max="11061" width="8.83203125" style="39"/>
    <col min="11062" max="11069" width="9.1640625" style="39" bestFit="1" customWidth="1"/>
    <col min="11070" max="11071" width="8.83203125" style="39"/>
    <col min="11072" max="11072" width="11" style="39" bestFit="1" customWidth="1"/>
    <col min="11073" max="11077" width="8.83203125" style="39"/>
    <col min="11078" max="11085" width="9.1640625" style="39" bestFit="1" customWidth="1"/>
    <col min="11086" max="11087" width="8.83203125" style="39"/>
    <col min="11088" max="11088" width="11" style="39" bestFit="1" customWidth="1"/>
    <col min="11089" max="11093" width="8.83203125" style="39"/>
    <col min="11094" max="11101" width="9.1640625" style="39" bestFit="1" customWidth="1"/>
    <col min="11102" max="11103" width="8.83203125" style="39"/>
    <col min="11104" max="11104" width="11" style="39" bestFit="1" customWidth="1"/>
    <col min="11105" max="11109" width="8.83203125" style="39"/>
    <col min="11110" max="11117" width="9.1640625" style="39" bestFit="1" customWidth="1"/>
    <col min="11118" max="11119" width="8.83203125" style="39"/>
    <col min="11120" max="11120" width="11" style="39" bestFit="1" customWidth="1"/>
    <col min="11121" max="11125" width="8.83203125" style="39"/>
    <col min="11126" max="11133" width="9.1640625" style="39" bestFit="1" customWidth="1"/>
    <col min="11134" max="11135" width="8.83203125" style="39"/>
    <col min="11136" max="11136" width="11" style="39" bestFit="1" customWidth="1"/>
    <col min="11137" max="11141" width="8.83203125" style="39"/>
    <col min="11142" max="11149" width="9.1640625" style="39" bestFit="1" customWidth="1"/>
    <col min="11150" max="11151" width="8.83203125" style="39"/>
    <col min="11152" max="11152" width="11" style="39" bestFit="1" customWidth="1"/>
    <col min="11153" max="11157" width="8.83203125" style="39"/>
    <col min="11158" max="11165" width="9.1640625" style="39" bestFit="1" customWidth="1"/>
    <col min="11166" max="11167" width="8.83203125" style="39"/>
    <col min="11168" max="11168" width="11" style="39" bestFit="1" customWidth="1"/>
    <col min="11169" max="11173" width="8.83203125" style="39"/>
    <col min="11174" max="11181" width="9.1640625" style="39" bestFit="1" customWidth="1"/>
    <col min="11182" max="11183" width="8.83203125" style="39"/>
    <col min="11184" max="11184" width="11" style="39" bestFit="1" customWidth="1"/>
    <col min="11185" max="11189" width="8.83203125" style="39"/>
    <col min="11190" max="11197" width="9.1640625" style="39" bestFit="1" customWidth="1"/>
    <col min="11198" max="11199" width="8.83203125" style="39"/>
    <col min="11200" max="11200" width="11" style="39" bestFit="1" customWidth="1"/>
    <col min="11201" max="11205" width="8.83203125" style="39"/>
    <col min="11206" max="11213" width="9.1640625" style="39" bestFit="1" customWidth="1"/>
    <col min="11214" max="11215" width="8.83203125" style="39"/>
    <col min="11216" max="11216" width="11" style="39" bestFit="1" customWidth="1"/>
    <col min="11217" max="11221" width="8.83203125" style="39"/>
    <col min="11222" max="11229" width="9.1640625" style="39" bestFit="1" customWidth="1"/>
    <col min="11230" max="11231" width="8.83203125" style="39"/>
    <col min="11232" max="11232" width="11" style="39" bestFit="1" customWidth="1"/>
    <col min="11233" max="11237" width="8.83203125" style="39"/>
    <col min="11238" max="11245" width="9.1640625" style="39" bestFit="1" customWidth="1"/>
    <col min="11246" max="11247" width="8.83203125" style="39"/>
    <col min="11248" max="11248" width="11" style="39" bestFit="1" customWidth="1"/>
    <col min="11249" max="11253" width="8.83203125" style="39"/>
    <col min="11254" max="11261" width="9.1640625" style="39" bestFit="1" customWidth="1"/>
    <col min="11262" max="11263" width="8.83203125" style="39"/>
    <col min="11264" max="11264" width="11" style="39" bestFit="1" customWidth="1"/>
    <col min="11265" max="11269" width="8.83203125" style="39"/>
    <col min="11270" max="11277" width="9.1640625" style="39" bestFit="1" customWidth="1"/>
    <col min="11278" max="11279" width="8.83203125" style="39"/>
    <col min="11280" max="11280" width="11" style="39" bestFit="1" customWidth="1"/>
    <col min="11281" max="11285" width="8.83203125" style="39"/>
    <col min="11286" max="11293" width="9.1640625" style="39" bestFit="1" customWidth="1"/>
    <col min="11294" max="11295" width="8.83203125" style="39"/>
    <col min="11296" max="11296" width="11" style="39" bestFit="1" customWidth="1"/>
    <col min="11297" max="11301" width="8.83203125" style="39"/>
    <col min="11302" max="11309" width="9.1640625" style="39" bestFit="1" customWidth="1"/>
    <col min="11310" max="11311" width="8.83203125" style="39"/>
    <col min="11312" max="11312" width="11" style="39" bestFit="1" customWidth="1"/>
    <col min="11313" max="11317" width="8.83203125" style="39"/>
    <col min="11318" max="11325" width="9.1640625" style="39" bestFit="1" customWidth="1"/>
    <col min="11326" max="11327" width="8.83203125" style="39"/>
    <col min="11328" max="11328" width="11" style="39" bestFit="1" customWidth="1"/>
    <col min="11329" max="11333" width="8.83203125" style="39"/>
    <col min="11334" max="11341" width="9.1640625" style="39" bestFit="1" customWidth="1"/>
    <col min="11342" max="11343" width="8.83203125" style="39"/>
    <col min="11344" max="11344" width="11" style="39" bestFit="1" customWidth="1"/>
    <col min="11345" max="11349" width="8.83203125" style="39"/>
    <col min="11350" max="11357" width="9.1640625" style="39" bestFit="1" customWidth="1"/>
    <col min="11358" max="11359" width="8.83203125" style="39"/>
    <col min="11360" max="11360" width="11" style="39" bestFit="1" customWidth="1"/>
    <col min="11361" max="11365" width="8.83203125" style="39"/>
    <col min="11366" max="11373" width="9.1640625" style="39" bestFit="1" customWidth="1"/>
    <col min="11374" max="11375" width="8.83203125" style="39"/>
    <col min="11376" max="11376" width="11" style="39" bestFit="1" customWidth="1"/>
    <col min="11377" max="11381" width="8.83203125" style="39"/>
    <col min="11382" max="11389" width="9.1640625" style="39" bestFit="1" customWidth="1"/>
    <col min="11390" max="11391" width="8.83203125" style="39"/>
    <col min="11392" max="11392" width="11" style="39" bestFit="1" customWidth="1"/>
    <col min="11393" max="11397" width="8.83203125" style="39"/>
    <col min="11398" max="11405" width="9.1640625" style="39" bestFit="1" customWidth="1"/>
    <col min="11406" max="11407" width="8.83203125" style="39"/>
    <col min="11408" max="11408" width="11" style="39" bestFit="1" customWidth="1"/>
    <col min="11409" max="11413" width="8.83203125" style="39"/>
    <col min="11414" max="11421" width="9.1640625" style="39" bestFit="1" customWidth="1"/>
    <col min="11422" max="11423" width="8.83203125" style="39"/>
    <col min="11424" max="11424" width="11" style="39" bestFit="1" customWidth="1"/>
    <col min="11425" max="11429" width="8.83203125" style="39"/>
    <col min="11430" max="11437" width="9.1640625" style="39" bestFit="1" customWidth="1"/>
    <col min="11438" max="11439" width="8.83203125" style="39"/>
    <col min="11440" max="11440" width="11" style="39" bestFit="1" customWidth="1"/>
    <col min="11441" max="11445" width="8.83203125" style="39"/>
    <col min="11446" max="11453" width="9.1640625" style="39" bestFit="1" customWidth="1"/>
    <col min="11454" max="11455" width="8.83203125" style="39"/>
    <col min="11456" max="11456" width="11" style="39" bestFit="1" customWidth="1"/>
    <col min="11457" max="11461" width="8.83203125" style="39"/>
    <col min="11462" max="11469" width="9.1640625" style="39" bestFit="1" customWidth="1"/>
    <col min="11470" max="11471" width="8.83203125" style="39"/>
    <col min="11472" max="11472" width="11" style="39" bestFit="1" customWidth="1"/>
    <col min="11473" max="11477" width="8.83203125" style="39"/>
    <col min="11478" max="11485" width="9.1640625" style="39" bestFit="1" customWidth="1"/>
    <col min="11486" max="11487" width="8.83203125" style="39"/>
    <col min="11488" max="11488" width="11" style="39" bestFit="1" customWidth="1"/>
    <col min="11489" max="11493" width="8.83203125" style="39"/>
    <col min="11494" max="11501" width="9.1640625" style="39" bestFit="1" customWidth="1"/>
    <col min="11502" max="11503" width="8.83203125" style="39"/>
    <col min="11504" max="11504" width="11" style="39" bestFit="1" customWidth="1"/>
    <col min="11505" max="11509" width="8.83203125" style="39"/>
    <col min="11510" max="11517" width="9.1640625" style="39" bestFit="1" customWidth="1"/>
    <col min="11518" max="11519" width="8.83203125" style="39"/>
    <col min="11520" max="11520" width="11" style="39" bestFit="1" customWidth="1"/>
    <col min="11521" max="11525" width="8.83203125" style="39"/>
    <col min="11526" max="11533" width="9.1640625" style="39" bestFit="1" customWidth="1"/>
    <col min="11534" max="11535" width="8.83203125" style="39"/>
    <col min="11536" max="11536" width="11" style="39" bestFit="1" customWidth="1"/>
    <col min="11537" max="11541" width="8.83203125" style="39"/>
    <col min="11542" max="11549" width="9.1640625" style="39" bestFit="1" customWidth="1"/>
    <col min="11550" max="11551" width="8.83203125" style="39"/>
    <col min="11552" max="11552" width="11" style="39" bestFit="1" customWidth="1"/>
    <col min="11553" max="11557" width="8.83203125" style="39"/>
    <col min="11558" max="11565" width="9.1640625" style="39" bestFit="1" customWidth="1"/>
    <col min="11566" max="11567" width="8.83203125" style="39"/>
    <col min="11568" max="11568" width="11" style="39" bestFit="1" customWidth="1"/>
    <col min="11569" max="11573" width="8.83203125" style="39"/>
    <col min="11574" max="11581" width="9.1640625" style="39" bestFit="1" customWidth="1"/>
    <col min="11582" max="11583" width="8.83203125" style="39"/>
    <col min="11584" max="11584" width="11" style="39" bestFit="1" customWidth="1"/>
    <col min="11585" max="11589" width="8.83203125" style="39"/>
    <col min="11590" max="11597" width="9.1640625" style="39" bestFit="1" customWidth="1"/>
    <col min="11598" max="11599" width="8.83203125" style="39"/>
    <col min="11600" max="11600" width="11" style="39" bestFit="1" customWidth="1"/>
    <col min="11601" max="11605" width="8.83203125" style="39"/>
    <col min="11606" max="11613" width="9.1640625" style="39" bestFit="1" customWidth="1"/>
    <col min="11614" max="11615" width="8.83203125" style="39"/>
    <col min="11616" max="11616" width="11" style="39" bestFit="1" customWidth="1"/>
    <col min="11617" max="11621" width="8.83203125" style="39"/>
    <col min="11622" max="11629" width="9.1640625" style="39" bestFit="1" customWidth="1"/>
    <col min="11630" max="11631" width="8.83203125" style="39"/>
    <col min="11632" max="11632" width="11" style="39" bestFit="1" customWidth="1"/>
    <col min="11633" max="11637" width="8.83203125" style="39"/>
    <col min="11638" max="11645" width="9.1640625" style="39" bestFit="1" customWidth="1"/>
    <col min="11646" max="11647" width="8.83203125" style="39"/>
    <col min="11648" max="11648" width="11" style="39" bestFit="1" customWidth="1"/>
    <col min="11649" max="11653" width="8.83203125" style="39"/>
    <col min="11654" max="11661" width="9.1640625" style="39" bestFit="1" customWidth="1"/>
    <col min="11662" max="11663" width="8.83203125" style="39"/>
    <col min="11664" max="11664" width="11" style="39" bestFit="1" customWidth="1"/>
    <col min="11665" max="11669" width="8.83203125" style="39"/>
    <col min="11670" max="11677" width="9.1640625" style="39" bestFit="1" customWidth="1"/>
    <col min="11678" max="11679" width="8.83203125" style="39"/>
    <col min="11680" max="11680" width="11" style="39" bestFit="1" customWidth="1"/>
    <col min="11681" max="11685" width="8.83203125" style="39"/>
    <col min="11686" max="11693" width="9.1640625" style="39" bestFit="1" customWidth="1"/>
    <col min="11694" max="11695" width="8.83203125" style="39"/>
    <col min="11696" max="11696" width="11" style="39" bestFit="1" customWidth="1"/>
    <col min="11697" max="11701" width="8.83203125" style="39"/>
    <col min="11702" max="11709" width="9.1640625" style="39" bestFit="1" customWidth="1"/>
    <col min="11710" max="11711" width="8.83203125" style="39"/>
    <col min="11712" max="11712" width="11" style="39" bestFit="1" customWidth="1"/>
    <col min="11713" max="11717" width="8.83203125" style="39"/>
    <col min="11718" max="11725" width="9.1640625" style="39" bestFit="1" customWidth="1"/>
    <col min="11726" max="11727" width="8.83203125" style="39"/>
    <col min="11728" max="11728" width="11" style="39" bestFit="1" customWidth="1"/>
    <col min="11729" max="11733" width="8.83203125" style="39"/>
    <col min="11734" max="11741" width="9.1640625" style="39" bestFit="1" customWidth="1"/>
    <col min="11742" max="11743" width="8.83203125" style="39"/>
    <col min="11744" max="11744" width="11" style="39" bestFit="1" customWidth="1"/>
    <col min="11745" max="11749" width="8.83203125" style="39"/>
    <col min="11750" max="11757" width="9.1640625" style="39" bestFit="1" customWidth="1"/>
    <col min="11758" max="11759" width="8.83203125" style="39"/>
    <col min="11760" max="11760" width="11" style="39" bestFit="1" customWidth="1"/>
    <col min="11761" max="11765" width="8.83203125" style="39"/>
    <col min="11766" max="11773" width="9.1640625" style="39" bestFit="1" customWidth="1"/>
    <col min="11774" max="11775" width="8.83203125" style="39"/>
    <col min="11776" max="11776" width="11" style="39" bestFit="1" customWidth="1"/>
    <col min="11777" max="11781" width="8.83203125" style="39"/>
    <col min="11782" max="11789" width="9.1640625" style="39" bestFit="1" customWidth="1"/>
    <col min="11790" max="11791" width="8.83203125" style="39"/>
    <col min="11792" max="11792" width="11" style="39" bestFit="1" customWidth="1"/>
    <col min="11793" max="11797" width="8.83203125" style="39"/>
    <col min="11798" max="11805" width="9.1640625" style="39" bestFit="1" customWidth="1"/>
    <col min="11806" max="11807" width="8.83203125" style="39"/>
    <col min="11808" max="11808" width="11" style="39" bestFit="1" customWidth="1"/>
    <col min="11809" max="11813" width="8.83203125" style="39"/>
    <col min="11814" max="11821" width="9.1640625" style="39" bestFit="1" customWidth="1"/>
    <col min="11822" max="11823" width="8.83203125" style="39"/>
    <col min="11824" max="11824" width="11" style="39" bestFit="1" customWidth="1"/>
    <col min="11825" max="11829" width="8.83203125" style="39"/>
    <col min="11830" max="11837" width="9.1640625" style="39" bestFit="1" customWidth="1"/>
    <col min="11838" max="11839" width="8.83203125" style="39"/>
    <col min="11840" max="11840" width="11" style="39" bestFit="1" customWidth="1"/>
    <col min="11841" max="11845" width="8.83203125" style="39"/>
    <col min="11846" max="11853" width="9.1640625" style="39" bestFit="1" customWidth="1"/>
    <col min="11854" max="11855" width="8.83203125" style="39"/>
    <col min="11856" max="11856" width="11" style="39" bestFit="1" customWidth="1"/>
    <col min="11857" max="11861" width="8.83203125" style="39"/>
    <col min="11862" max="11869" width="9.1640625" style="39" bestFit="1" customWidth="1"/>
    <col min="11870" max="11871" width="8.83203125" style="39"/>
    <col min="11872" max="11872" width="11" style="39" bestFit="1" customWidth="1"/>
    <col min="11873" max="11877" width="8.83203125" style="39"/>
    <col min="11878" max="11885" width="9.1640625" style="39" bestFit="1" customWidth="1"/>
    <col min="11886" max="11887" width="8.83203125" style="39"/>
    <col min="11888" max="11888" width="11" style="39" bestFit="1" customWidth="1"/>
    <col min="11889" max="11893" width="8.83203125" style="39"/>
    <col min="11894" max="11901" width="9.1640625" style="39" bestFit="1" customWidth="1"/>
    <col min="11902" max="11903" width="8.83203125" style="39"/>
    <col min="11904" max="11904" width="11" style="39" bestFit="1" customWidth="1"/>
    <col min="11905" max="11909" width="8.83203125" style="39"/>
    <col min="11910" max="11917" width="9.1640625" style="39" bestFit="1" customWidth="1"/>
    <col min="11918" max="11919" width="8.83203125" style="39"/>
    <col min="11920" max="11920" width="11" style="39" bestFit="1" customWidth="1"/>
    <col min="11921" max="11925" width="8.83203125" style="39"/>
    <col min="11926" max="11933" width="9.1640625" style="39" bestFit="1" customWidth="1"/>
    <col min="11934" max="11935" width="8.83203125" style="39"/>
    <col min="11936" max="11936" width="11" style="39" bestFit="1" customWidth="1"/>
    <col min="11937" max="11941" width="8.83203125" style="39"/>
    <col min="11942" max="11949" width="9.1640625" style="39" bestFit="1" customWidth="1"/>
    <col min="11950" max="11951" width="8.83203125" style="39"/>
    <col min="11952" max="11952" width="11" style="39" bestFit="1" customWidth="1"/>
    <col min="11953" max="11957" width="8.83203125" style="39"/>
    <col min="11958" max="11965" width="9.1640625" style="39" bestFit="1" customWidth="1"/>
    <col min="11966" max="11967" width="8.83203125" style="39"/>
    <col min="11968" max="11968" width="11" style="39" bestFit="1" customWidth="1"/>
    <col min="11969" max="11973" width="8.83203125" style="39"/>
    <col min="11974" max="11981" width="9.1640625" style="39" bestFit="1" customWidth="1"/>
    <col min="11982" max="11983" width="8.83203125" style="39"/>
    <col min="11984" max="11984" width="11" style="39" bestFit="1" customWidth="1"/>
    <col min="11985" max="11989" width="8.83203125" style="39"/>
    <col min="11990" max="11997" width="9.1640625" style="39" bestFit="1" customWidth="1"/>
    <col min="11998" max="11999" width="8.83203125" style="39"/>
    <col min="12000" max="12000" width="11" style="39" bestFit="1" customWidth="1"/>
    <col min="12001" max="12005" width="8.83203125" style="39"/>
    <col min="12006" max="12013" width="9.1640625" style="39" bestFit="1" customWidth="1"/>
    <col min="12014" max="12015" width="8.83203125" style="39"/>
    <col min="12016" max="12016" width="11" style="39" bestFit="1" customWidth="1"/>
    <col min="12017" max="12021" width="8.83203125" style="39"/>
    <col min="12022" max="12029" width="9.1640625" style="39" bestFit="1" customWidth="1"/>
    <col min="12030" max="12031" width="8.83203125" style="39"/>
    <col min="12032" max="12032" width="11" style="39" bestFit="1" customWidth="1"/>
    <col min="12033" max="12037" width="8.83203125" style="39"/>
    <col min="12038" max="12045" width="9.1640625" style="39" bestFit="1" customWidth="1"/>
    <col min="12046" max="12047" width="8.83203125" style="39"/>
    <col min="12048" max="12048" width="11" style="39" bestFit="1" customWidth="1"/>
    <col min="12049" max="12053" width="8.83203125" style="39"/>
    <col min="12054" max="12061" width="9.1640625" style="39" bestFit="1" customWidth="1"/>
    <col min="12062" max="12063" width="8.83203125" style="39"/>
    <col min="12064" max="12064" width="11" style="39" bestFit="1" customWidth="1"/>
    <col min="12065" max="12069" width="8.83203125" style="39"/>
    <col min="12070" max="12077" width="9.1640625" style="39" bestFit="1" customWidth="1"/>
    <col min="12078" max="12079" width="8.83203125" style="39"/>
    <col min="12080" max="12080" width="11" style="39" bestFit="1" customWidth="1"/>
    <col min="12081" max="12085" width="8.83203125" style="39"/>
    <col min="12086" max="12093" width="9.1640625" style="39" bestFit="1" customWidth="1"/>
    <col min="12094" max="12095" width="8.83203125" style="39"/>
    <col min="12096" max="12096" width="11" style="39" bestFit="1" customWidth="1"/>
    <col min="12097" max="12101" width="8.83203125" style="39"/>
    <col min="12102" max="12109" width="9.1640625" style="39" bestFit="1" customWidth="1"/>
    <col min="12110" max="12111" width="8.83203125" style="39"/>
    <col min="12112" max="12112" width="11" style="39" bestFit="1" customWidth="1"/>
    <col min="12113" max="12117" width="8.83203125" style="39"/>
    <col min="12118" max="12125" width="9.1640625" style="39" bestFit="1" customWidth="1"/>
    <col min="12126" max="12127" width="8.83203125" style="39"/>
    <col min="12128" max="12128" width="11" style="39" bestFit="1" customWidth="1"/>
    <col min="12129" max="12133" width="8.83203125" style="39"/>
    <col min="12134" max="12141" width="9.1640625" style="39" bestFit="1" customWidth="1"/>
    <col min="12142" max="12143" width="8.83203125" style="39"/>
    <col min="12144" max="12144" width="11" style="39" bestFit="1" customWidth="1"/>
    <col min="12145" max="12149" width="8.83203125" style="39"/>
    <col min="12150" max="12157" width="9.1640625" style="39" bestFit="1" customWidth="1"/>
    <col min="12158" max="12159" width="8.83203125" style="39"/>
    <col min="12160" max="12160" width="11" style="39" bestFit="1" customWidth="1"/>
    <col min="12161" max="12165" width="8.83203125" style="39"/>
    <col min="12166" max="12173" width="9.1640625" style="39" bestFit="1" customWidth="1"/>
    <col min="12174" max="12175" width="8.83203125" style="39"/>
    <col min="12176" max="12176" width="11" style="39" bestFit="1" customWidth="1"/>
    <col min="12177" max="12181" width="8.83203125" style="39"/>
    <col min="12182" max="12189" width="9.1640625" style="39" bestFit="1" customWidth="1"/>
    <col min="12190" max="12191" width="8.83203125" style="39"/>
    <col min="12192" max="12192" width="11" style="39" bestFit="1" customWidth="1"/>
    <col min="12193" max="12197" width="8.83203125" style="39"/>
    <col min="12198" max="12205" width="9.1640625" style="39" bestFit="1" customWidth="1"/>
    <col min="12206" max="12207" width="8.83203125" style="39"/>
    <col min="12208" max="12208" width="11" style="39" bestFit="1" customWidth="1"/>
    <col min="12209" max="12213" width="8.83203125" style="39"/>
    <col min="12214" max="12221" width="9.1640625" style="39" bestFit="1" customWidth="1"/>
    <col min="12222" max="12223" width="8.83203125" style="39"/>
    <col min="12224" max="12224" width="11" style="39" bestFit="1" customWidth="1"/>
    <col min="12225" max="12229" width="8.83203125" style="39"/>
    <col min="12230" max="12237" width="9.1640625" style="39" bestFit="1" customWidth="1"/>
    <col min="12238" max="12239" width="8.83203125" style="39"/>
    <col min="12240" max="12240" width="11" style="39" bestFit="1" customWidth="1"/>
    <col min="12241" max="12245" width="8.83203125" style="39"/>
    <col min="12246" max="12253" width="9.1640625" style="39" bestFit="1" customWidth="1"/>
    <col min="12254" max="12255" width="8.83203125" style="39"/>
    <col min="12256" max="12256" width="11" style="39" bestFit="1" customWidth="1"/>
    <col min="12257" max="12261" width="8.83203125" style="39"/>
    <col min="12262" max="12269" width="9.1640625" style="39" bestFit="1" customWidth="1"/>
    <col min="12270" max="12271" width="8.83203125" style="39"/>
    <col min="12272" max="12272" width="11" style="39" bestFit="1" customWidth="1"/>
    <col min="12273" max="12277" width="8.83203125" style="39"/>
    <col min="12278" max="12285" width="9.1640625" style="39" bestFit="1" customWidth="1"/>
    <col min="12286" max="12287" width="8.83203125" style="39"/>
    <col min="12288" max="12288" width="11" style="39" bestFit="1" customWidth="1"/>
    <col min="12289" max="12293" width="8.83203125" style="39"/>
    <col min="12294" max="12301" width="9.1640625" style="39" bestFit="1" customWidth="1"/>
    <col min="12302" max="12303" width="8.83203125" style="39"/>
    <col min="12304" max="12304" width="11" style="39" bestFit="1" customWidth="1"/>
    <col min="12305" max="12309" width="8.83203125" style="39"/>
    <col min="12310" max="12317" width="9.1640625" style="39" bestFit="1" customWidth="1"/>
    <col min="12318" max="12319" width="8.83203125" style="39"/>
    <col min="12320" max="12320" width="11" style="39" bestFit="1" customWidth="1"/>
    <col min="12321" max="12325" width="8.83203125" style="39"/>
    <col min="12326" max="12333" width="9.1640625" style="39" bestFit="1" customWidth="1"/>
    <col min="12334" max="12335" width="8.83203125" style="39"/>
    <col min="12336" max="12336" width="11" style="39" bestFit="1" customWidth="1"/>
    <col min="12337" max="12341" width="8.83203125" style="39"/>
    <col min="12342" max="12349" width="9.1640625" style="39" bestFit="1" customWidth="1"/>
    <col min="12350" max="12351" width="8.83203125" style="39"/>
    <col min="12352" max="12352" width="11" style="39" bestFit="1" customWidth="1"/>
    <col min="12353" max="12357" width="8.83203125" style="39"/>
    <col min="12358" max="12365" width="9.1640625" style="39" bestFit="1" customWidth="1"/>
    <col min="12366" max="12367" width="8.83203125" style="39"/>
    <col min="12368" max="12368" width="11" style="39" bestFit="1" customWidth="1"/>
    <col min="12369" max="12373" width="8.83203125" style="39"/>
    <col min="12374" max="12381" width="9.1640625" style="39" bestFit="1" customWidth="1"/>
    <col min="12382" max="12383" width="8.83203125" style="39"/>
    <col min="12384" max="12384" width="11" style="39" bestFit="1" customWidth="1"/>
    <col min="12385" max="12389" width="8.83203125" style="39"/>
    <col min="12390" max="12397" width="9.1640625" style="39" bestFit="1" customWidth="1"/>
    <col min="12398" max="12399" width="8.83203125" style="39"/>
    <col min="12400" max="12400" width="11" style="39" bestFit="1" customWidth="1"/>
    <col min="12401" max="12405" width="8.83203125" style="39"/>
    <col min="12406" max="12413" width="9.1640625" style="39" bestFit="1" customWidth="1"/>
    <col min="12414" max="12415" width="8.83203125" style="39"/>
    <col min="12416" max="12416" width="11" style="39" bestFit="1" customWidth="1"/>
    <col min="12417" max="12421" width="8.83203125" style="39"/>
    <col min="12422" max="12429" width="9.1640625" style="39" bestFit="1" customWidth="1"/>
    <col min="12430" max="12431" width="8.83203125" style="39"/>
    <col min="12432" max="12432" width="11" style="39" bestFit="1" customWidth="1"/>
    <col min="12433" max="12437" width="8.83203125" style="39"/>
    <col min="12438" max="12445" width="9.1640625" style="39" bestFit="1" customWidth="1"/>
    <col min="12446" max="12447" width="8.83203125" style="39"/>
    <col min="12448" max="12448" width="11" style="39" bestFit="1" customWidth="1"/>
    <col min="12449" max="12453" width="8.83203125" style="39"/>
    <col min="12454" max="12461" width="9.1640625" style="39" bestFit="1" customWidth="1"/>
    <col min="12462" max="12463" width="8.83203125" style="39"/>
    <col min="12464" max="12464" width="11" style="39" bestFit="1" customWidth="1"/>
    <col min="12465" max="12469" width="8.83203125" style="39"/>
    <col min="12470" max="12477" width="9.1640625" style="39" bestFit="1" customWidth="1"/>
    <col min="12478" max="12479" width="8.83203125" style="39"/>
    <col min="12480" max="12480" width="11" style="39" bestFit="1" customWidth="1"/>
    <col min="12481" max="12485" width="8.83203125" style="39"/>
    <col min="12486" max="12493" width="9.1640625" style="39" bestFit="1" customWidth="1"/>
    <col min="12494" max="12495" width="8.83203125" style="39"/>
    <col min="12496" max="12496" width="11" style="39" bestFit="1" customWidth="1"/>
    <col min="12497" max="12501" width="8.83203125" style="39"/>
    <col min="12502" max="12509" width="9.1640625" style="39" bestFit="1" customWidth="1"/>
    <col min="12510" max="12511" width="8.83203125" style="39"/>
    <col min="12512" max="12512" width="11" style="39" bestFit="1" customWidth="1"/>
    <col min="12513" max="12517" width="8.83203125" style="39"/>
    <col min="12518" max="12525" width="9.1640625" style="39" bestFit="1" customWidth="1"/>
    <col min="12526" max="12527" width="8.83203125" style="39"/>
    <col min="12528" max="12528" width="11" style="39" bestFit="1" customWidth="1"/>
    <col min="12529" max="12533" width="8.83203125" style="39"/>
    <col min="12534" max="12541" width="9.1640625" style="39" bestFit="1" customWidth="1"/>
    <col min="12542" max="12543" width="8.83203125" style="39"/>
    <col min="12544" max="12544" width="11" style="39" bestFit="1" customWidth="1"/>
    <col min="12545" max="12549" width="8.83203125" style="39"/>
    <col min="12550" max="12557" width="9.1640625" style="39" bestFit="1" customWidth="1"/>
    <col min="12558" max="12559" width="8.83203125" style="39"/>
    <col min="12560" max="12560" width="11" style="39" bestFit="1" customWidth="1"/>
    <col min="12561" max="12565" width="8.83203125" style="39"/>
    <col min="12566" max="12573" width="9.1640625" style="39" bestFit="1" customWidth="1"/>
    <col min="12574" max="12575" width="8.83203125" style="39"/>
    <col min="12576" max="12576" width="11" style="39" bestFit="1" customWidth="1"/>
    <col min="12577" max="12581" width="8.83203125" style="39"/>
    <col min="12582" max="12589" width="9.1640625" style="39" bestFit="1" customWidth="1"/>
    <col min="12590" max="12591" width="8.83203125" style="39"/>
    <col min="12592" max="12592" width="11" style="39" bestFit="1" customWidth="1"/>
    <col min="12593" max="12597" width="8.83203125" style="39"/>
    <col min="12598" max="12605" width="9.1640625" style="39" bestFit="1" customWidth="1"/>
    <col min="12606" max="12607" width="8.83203125" style="39"/>
    <col min="12608" max="12608" width="11" style="39" bestFit="1" customWidth="1"/>
    <col min="12609" max="12613" width="8.83203125" style="39"/>
    <col min="12614" max="12621" width="9.1640625" style="39" bestFit="1" customWidth="1"/>
    <col min="12622" max="12623" width="8.83203125" style="39"/>
    <col min="12624" max="12624" width="11" style="39" bestFit="1" customWidth="1"/>
    <col min="12625" max="12629" width="8.83203125" style="39"/>
    <col min="12630" max="12637" width="9.1640625" style="39" bestFit="1" customWidth="1"/>
    <col min="12638" max="12639" width="8.83203125" style="39"/>
    <col min="12640" max="12640" width="11" style="39" bestFit="1" customWidth="1"/>
    <col min="12641" max="12645" width="8.83203125" style="39"/>
    <col min="12646" max="12653" width="9.1640625" style="39" bestFit="1" customWidth="1"/>
    <col min="12654" max="12655" width="8.83203125" style="39"/>
    <col min="12656" max="12656" width="11" style="39" bestFit="1" customWidth="1"/>
    <col min="12657" max="12661" width="8.83203125" style="39"/>
    <col min="12662" max="12669" width="9.1640625" style="39" bestFit="1" customWidth="1"/>
    <col min="12670" max="12671" width="8.83203125" style="39"/>
    <col min="12672" max="12672" width="11" style="39" bestFit="1" customWidth="1"/>
    <col min="12673" max="12677" width="8.83203125" style="39"/>
    <col min="12678" max="12685" width="9.1640625" style="39" bestFit="1" customWidth="1"/>
    <col min="12686" max="12687" width="8.83203125" style="39"/>
    <col min="12688" max="12688" width="11" style="39" bestFit="1" customWidth="1"/>
    <col min="12689" max="12693" width="8.83203125" style="39"/>
    <col min="12694" max="12701" width="9.1640625" style="39" bestFit="1" customWidth="1"/>
    <col min="12702" max="12703" width="8.83203125" style="39"/>
    <col min="12704" max="12704" width="11" style="39" bestFit="1" customWidth="1"/>
    <col min="12705" max="12709" width="8.83203125" style="39"/>
    <col min="12710" max="12717" width="9.1640625" style="39" bestFit="1" customWidth="1"/>
    <col min="12718" max="12719" width="8.83203125" style="39"/>
    <col min="12720" max="12720" width="11" style="39" bestFit="1" customWidth="1"/>
    <col min="12721" max="12725" width="8.83203125" style="39"/>
    <col min="12726" max="12733" width="9.1640625" style="39" bestFit="1" customWidth="1"/>
    <col min="12734" max="12735" width="8.83203125" style="39"/>
    <col min="12736" max="12736" width="11" style="39" bestFit="1" customWidth="1"/>
    <col min="12737" max="12741" width="8.83203125" style="39"/>
    <col min="12742" max="12749" width="9.1640625" style="39" bestFit="1" customWidth="1"/>
    <col min="12750" max="12751" width="8.83203125" style="39"/>
    <col min="12752" max="12752" width="11" style="39" bestFit="1" customWidth="1"/>
    <col min="12753" max="12757" width="8.83203125" style="39"/>
    <col min="12758" max="12765" width="9.1640625" style="39" bestFit="1" customWidth="1"/>
    <col min="12766" max="12767" width="8.83203125" style="39"/>
    <col min="12768" max="12768" width="11" style="39" bestFit="1" customWidth="1"/>
    <col min="12769" max="12773" width="8.83203125" style="39"/>
    <col min="12774" max="12781" width="9.1640625" style="39" bestFit="1" customWidth="1"/>
    <col min="12782" max="12783" width="8.83203125" style="39"/>
    <col min="12784" max="12784" width="11" style="39" bestFit="1" customWidth="1"/>
    <col min="12785" max="12789" width="8.83203125" style="39"/>
    <col min="12790" max="12797" width="9.1640625" style="39" bestFit="1" customWidth="1"/>
    <col min="12798" max="12799" width="8.83203125" style="39"/>
    <col min="12800" max="12800" width="11" style="39" bestFit="1" customWidth="1"/>
    <col min="12801" max="12805" width="8.83203125" style="39"/>
    <col min="12806" max="12813" width="9.1640625" style="39" bestFit="1" customWidth="1"/>
    <col min="12814" max="12815" width="8.83203125" style="39"/>
    <col min="12816" max="12816" width="11" style="39" bestFit="1" customWidth="1"/>
    <col min="12817" max="12821" width="8.83203125" style="39"/>
    <col min="12822" max="12829" width="9.1640625" style="39" bestFit="1" customWidth="1"/>
    <col min="12830" max="12831" width="8.83203125" style="39"/>
    <col min="12832" max="12832" width="11" style="39" bestFit="1" customWidth="1"/>
    <col min="12833" max="12837" width="8.83203125" style="39"/>
    <col min="12838" max="12845" width="9.1640625" style="39" bestFit="1" customWidth="1"/>
    <col min="12846" max="12847" width="8.83203125" style="39"/>
    <col min="12848" max="12848" width="11" style="39" bestFit="1" customWidth="1"/>
    <col min="12849" max="12853" width="8.83203125" style="39"/>
    <col min="12854" max="12861" width="9.1640625" style="39" bestFit="1" customWidth="1"/>
    <col min="12862" max="12863" width="8.83203125" style="39"/>
    <col min="12864" max="12864" width="11" style="39" bestFit="1" customWidth="1"/>
    <col min="12865" max="12869" width="8.83203125" style="39"/>
    <col min="12870" max="12877" width="9.1640625" style="39" bestFit="1" customWidth="1"/>
    <col min="12878" max="12879" width="8.83203125" style="39"/>
    <col min="12880" max="12880" width="11" style="39" bestFit="1" customWidth="1"/>
    <col min="12881" max="12885" width="8.83203125" style="39"/>
    <col min="12886" max="12893" width="9.1640625" style="39" bestFit="1" customWidth="1"/>
    <col min="12894" max="12895" width="8.83203125" style="39"/>
    <col min="12896" max="12896" width="11" style="39" bestFit="1" customWidth="1"/>
    <col min="12897" max="12901" width="8.83203125" style="39"/>
    <col min="12902" max="12909" width="9.1640625" style="39" bestFit="1" customWidth="1"/>
    <col min="12910" max="12911" width="8.83203125" style="39"/>
    <col min="12912" max="12912" width="11" style="39" bestFit="1" customWidth="1"/>
    <col min="12913" max="12917" width="8.83203125" style="39"/>
    <col min="12918" max="12925" width="9.1640625" style="39" bestFit="1" customWidth="1"/>
    <col min="12926" max="12927" width="8.83203125" style="39"/>
    <col min="12928" max="12928" width="11" style="39" bestFit="1" customWidth="1"/>
    <col min="12929" max="12933" width="8.83203125" style="39"/>
    <col min="12934" max="12941" width="9.1640625" style="39" bestFit="1" customWidth="1"/>
    <col min="12942" max="12943" width="8.83203125" style="39"/>
    <col min="12944" max="12944" width="11" style="39" bestFit="1" customWidth="1"/>
    <col min="12945" max="12949" width="8.83203125" style="39"/>
    <col min="12950" max="12957" width="9.1640625" style="39" bestFit="1" customWidth="1"/>
    <col min="12958" max="12959" width="8.83203125" style="39"/>
    <col min="12960" max="12960" width="11" style="39" bestFit="1" customWidth="1"/>
    <col min="12961" max="12965" width="8.83203125" style="39"/>
    <col min="12966" max="12973" width="9.1640625" style="39" bestFit="1" customWidth="1"/>
    <col min="12974" max="12975" width="8.83203125" style="39"/>
    <col min="12976" max="12976" width="11" style="39" bestFit="1" customWidth="1"/>
    <col min="12977" max="12981" width="8.83203125" style="39"/>
    <col min="12982" max="12989" width="9.1640625" style="39" bestFit="1" customWidth="1"/>
    <col min="12990" max="12991" width="8.83203125" style="39"/>
    <col min="12992" max="12992" width="11" style="39" bestFit="1" customWidth="1"/>
    <col min="12993" max="12997" width="8.83203125" style="39"/>
    <col min="12998" max="13005" width="9.1640625" style="39" bestFit="1" customWidth="1"/>
    <col min="13006" max="13007" width="8.83203125" style="39"/>
    <col min="13008" max="13008" width="11" style="39" bestFit="1" customWidth="1"/>
    <col min="13009" max="13013" width="8.83203125" style="39"/>
    <col min="13014" max="13021" width="9.1640625" style="39" bestFit="1" customWidth="1"/>
    <col min="13022" max="13023" width="8.83203125" style="39"/>
    <col min="13024" max="13024" width="11" style="39" bestFit="1" customWidth="1"/>
    <col min="13025" max="13029" width="8.83203125" style="39"/>
    <col min="13030" max="13037" width="9.1640625" style="39" bestFit="1" customWidth="1"/>
    <col min="13038" max="13039" width="8.83203125" style="39"/>
    <col min="13040" max="13040" width="11" style="39" bestFit="1" customWidth="1"/>
    <col min="13041" max="13045" width="8.83203125" style="39"/>
    <col min="13046" max="13053" width="9.1640625" style="39" bestFit="1" customWidth="1"/>
    <col min="13054" max="13055" width="8.83203125" style="39"/>
    <col min="13056" max="13056" width="11" style="39" bestFit="1" customWidth="1"/>
    <col min="13057" max="13061" width="8.83203125" style="39"/>
    <col min="13062" max="13069" width="9.1640625" style="39" bestFit="1" customWidth="1"/>
    <col min="13070" max="13071" width="8.83203125" style="39"/>
    <col min="13072" max="13072" width="11" style="39" bestFit="1" customWidth="1"/>
    <col min="13073" max="13077" width="8.83203125" style="39"/>
    <col min="13078" max="13085" width="9.1640625" style="39" bestFit="1" customWidth="1"/>
    <col min="13086" max="13087" width="8.83203125" style="39"/>
    <col min="13088" max="13088" width="11" style="39" bestFit="1" customWidth="1"/>
    <col min="13089" max="13093" width="8.83203125" style="39"/>
    <col min="13094" max="13101" width="9.1640625" style="39" bestFit="1" customWidth="1"/>
    <col min="13102" max="13103" width="8.83203125" style="39"/>
    <col min="13104" max="13104" width="11" style="39" bestFit="1" customWidth="1"/>
    <col min="13105" max="13109" width="8.83203125" style="39"/>
    <col min="13110" max="13117" width="9.1640625" style="39" bestFit="1" customWidth="1"/>
    <col min="13118" max="13119" width="8.83203125" style="39"/>
    <col min="13120" max="13120" width="11" style="39" bestFit="1" customWidth="1"/>
    <col min="13121" max="13125" width="8.83203125" style="39"/>
    <col min="13126" max="13133" width="9.1640625" style="39" bestFit="1" customWidth="1"/>
    <col min="13134" max="13135" width="8.83203125" style="39"/>
    <col min="13136" max="13136" width="11" style="39" bestFit="1" customWidth="1"/>
    <col min="13137" max="13141" width="8.83203125" style="39"/>
    <col min="13142" max="13149" width="9.1640625" style="39" bestFit="1" customWidth="1"/>
    <col min="13150" max="13151" width="8.83203125" style="39"/>
    <col min="13152" max="13152" width="11" style="39" bestFit="1" customWidth="1"/>
    <col min="13153" max="13157" width="8.83203125" style="39"/>
    <col min="13158" max="13165" width="9.1640625" style="39" bestFit="1" customWidth="1"/>
    <col min="13166" max="13167" width="8.83203125" style="39"/>
    <col min="13168" max="13168" width="11" style="39" bestFit="1" customWidth="1"/>
    <col min="13169" max="13173" width="8.83203125" style="39"/>
    <col min="13174" max="13181" width="9.1640625" style="39" bestFit="1" customWidth="1"/>
    <col min="13182" max="13183" width="8.83203125" style="39"/>
    <col min="13184" max="13184" width="11" style="39" bestFit="1" customWidth="1"/>
    <col min="13185" max="13189" width="8.83203125" style="39"/>
    <col min="13190" max="13197" width="9.1640625" style="39" bestFit="1" customWidth="1"/>
    <col min="13198" max="13199" width="8.83203125" style="39"/>
    <col min="13200" max="13200" width="11" style="39" bestFit="1" customWidth="1"/>
    <col min="13201" max="13205" width="8.83203125" style="39"/>
    <col min="13206" max="13213" width="9.1640625" style="39" bestFit="1" customWidth="1"/>
    <col min="13214" max="13215" width="8.83203125" style="39"/>
    <col min="13216" max="13216" width="11" style="39" bestFit="1" customWidth="1"/>
    <col min="13217" max="13221" width="8.83203125" style="39"/>
    <col min="13222" max="13229" width="9.1640625" style="39" bestFit="1" customWidth="1"/>
    <col min="13230" max="13231" width="8.83203125" style="39"/>
    <col min="13232" max="13232" width="11" style="39" bestFit="1" customWidth="1"/>
    <col min="13233" max="13237" width="8.83203125" style="39"/>
    <col min="13238" max="13245" width="9.1640625" style="39" bestFit="1" customWidth="1"/>
    <col min="13246" max="13247" width="8.83203125" style="39"/>
    <col min="13248" max="13248" width="11" style="39" bestFit="1" customWidth="1"/>
    <col min="13249" max="13253" width="8.83203125" style="39"/>
    <col min="13254" max="13261" width="9.1640625" style="39" bestFit="1" customWidth="1"/>
    <col min="13262" max="13263" width="8.83203125" style="39"/>
    <col min="13264" max="13264" width="11" style="39" bestFit="1" customWidth="1"/>
    <col min="13265" max="13269" width="8.83203125" style="39"/>
    <col min="13270" max="13277" width="9.1640625" style="39" bestFit="1" customWidth="1"/>
    <col min="13278" max="13279" width="8.83203125" style="39"/>
    <col min="13280" max="13280" width="11" style="39" bestFit="1" customWidth="1"/>
    <col min="13281" max="13285" width="8.83203125" style="39"/>
    <col min="13286" max="13293" width="9.1640625" style="39" bestFit="1" customWidth="1"/>
    <col min="13294" max="13295" width="8.83203125" style="39"/>
    <col min="13296" max="13296" width="11" style="39" bestFit="1" customWidth="1"/>
    <col min="13297" max="13301" width="8.83203125" style="39"/>
    <col min="13302" max="13309" width="9.1640625" style="39" bestFit="1" customWidth="1"/>
    <col min="13310" max="13311" width="8.83203125" style="39"/>
    <col min="13312" max="13312" width="11" style="39" bestFit="1" customWidth="1"/>
    <col min="13313" max="13317" width="8.83203125" style="39"/>
    <col min="13318" max="13325" width="9.1640625" style="39" bestFit="1" customWidth="1"/>
    <col min="13326" max="13327" width="8.83203125" style="39"/>
    <col min="13328" max="13328" width="11" style="39" bestFit="1" customWidth="1"/>
    <col min="13329" max="13333" width="8.83203125" style="39"/>
    <col min="13334" max="13341" width="9.1640625" style="39" bestFit="1" customWidth="1"/>
    <col min="13342" max="13343" width="8.83203125" style="39"/>
    <col min="13344" max="13344" width="11" style="39" bestFit="1" customWidth="1"/>
    <col min="13345" max="13349" width="8.83203125" style="39"/>
    <col min="13350" max="13357" width="9.1640625" style="39" bestFit="1" customWidth="1"/>
    <col min="13358" max="13359" width="8.83203125" style="39"/>
    <col min="13360" max="13360" width="11" style="39" bestFit="1" customWidth="1"/>
    <col min="13361" max="13365" width="8.83203125" style="39"/>
    <col min="13366" max="13373" width="9.1640625" style="39" bestFit="1" customWidth="1"/>
    <col min="13374" max="13375" width="8.83203125" style="39"/>
    <col min="13376" max="13376" width="11" style="39" bestFit="1" customWidth="1"/>
    <col min="13377" max="13381" width="8.83203125" style="39"/>
    <col min="13382" max="13389" width="9.1640625" style="39" bestFit="1" customWidth="1"/>
    <col min="13390" max="13391" width="8.83203125" style="39"/>
    <col min="13392" max="13392" width="11" style="39" bestFit="1" customWidth="1"/>
    <col min="13393" max="13397" width="8.83203125" style="39"/>
    <col min="13398" max="13405" width="9.1640625" style="39" bestFit="1" customWidth="1"/>
    <col min="13406" max="13407" width="8.83203125" style="39"/>
    <col min="13408" max="13408" width="11" style="39" bestFit="1" customWidth="1"/>
    <col min="13409" max="13413" width="8.83203125" style="39"/>
    <col min="13414" max="13421" width="9.1640625" style="39" bestFit="1" customWidth="1"/>
    <col min="13422" max="13423" width="8.83203125" style="39"/>
    <col min="13424" max="13424" width="11" style="39" bestFit="1" customWidth="1"/>
    <col min="13425" max="13429" width="8.83203125" style="39"/>
    <col min="13430" max="13437" width="9.1640625" style="39" bestFit="1" customWidth="1"/>
    <col min="13438" max="13439" width="8.83203125" style="39"/>
    <col min="13440" max="13440" width="11" style="39" bestFit="1" customWidth="1"/>
    <col min="13441" max="13445" width="8.83203125" style="39"/>
    <col min="13446" max="13453" width="9.1640625" style="39" bestFit="1" customWidth="1"/>
    <col min="13454" max="13455" width="8.83203125" style="39"/>
    <col min="13456" max="13456" width="11" style="39" bestFit="1" customWidth="1"/>
    <col min="13457" max="13461" width="8.83203125" style="39"/>
    <col min="13462" max="13469" width="9.1640625" style="39" bestFit="1" customWidth="1"/>
    <col min="13470" max="13471" width="8.83203125" style="39"/>
    <col min="13472" max="13472" width="11" style="39" bestFit="1" customWidth="1"/>
    <col min="13473" max="13477" width="8.83203125" style="39"/>
    <col min="13478" max="13485" width="9.1640625" style="39" bestFit="1" customWidth="1"/>
    <col min="13486" max="13487" width="8.83203125" style="39"/>
    <col min="13488" max="13488" width="11" style="39" bestFit="1" customWidth="1"/>
    <col min="13489" max="13493" width="8.83203125" style="39"/>
    <col min="13494" max="13501" width="9.1640625" style="39" bestFit="1" customWidth="1"/>
    <col min="13502" max="13503" width="8.83203125" style="39"/>
    <col min="13504" max="13504" width="11" style="39" bestFit="1" customWidth="1"/>
    <col min="13505" max="13509" width="8.83203125" style="39"/>
    <col min="13510" max="13517" width="9.1640625" style="39" bestFit="1" customWidth="1"/>
    <col min="13518" max="13519" width="8.83203125" style="39"/>
    <col min="13520" max="13520" width="11" style="39" bestFit="1" customWidth="1"/>
    <col min="13521" max="13525" width="8.83203125" style="39"/>
    <col min="13526" max="13533" width="9.1640625" style="39" bestFit="1" customWidth="1"/>
    <col min="13534" max="13535" width="8.83203125" style="39"/>
    <col min="13536" max="13536" width="11" style="39" bestFit="1" customWidth="1"/>
    <col min="13537" max="13541" width="8.83203125" style="39"/>
    <col min="13542" max="13549" width="9.1640625" style="39" bestFit="1" customWidth="1"/>
    <col min="13550" max="13551" width="8.83203125" style="39"/>
    <col min="13552" max="13552" width="11" style="39" bestFit="1" customWidth="1"/>
    <col min="13553" max="13557" width="8.83203125" style="39"/>
    <col min="13558" max="13565" width="9.1640625" style="39" bestFit="1" customWidth="1"/>
    <col min="13566" max="13567" width="8.83203125" style="39"/>
    <col min="13568" max="13568" width="11" style="39" bestFit="1" customWidth="1"/>
    <col min="13569" max="13573" width="8.83203125" style="39"/>
    <col min="13574" max="13581" width="9.1640625" style="39" bestFit="1" customWidth="1"/>
    <col min="13582" max="13583" width="8.83203125" style="39"/>
    <col min="13584" max="13584" width="11" style="39" bestFit="1" customWidth="1"/>
    <col min="13585" max="13589" width="8.83203125" style="39"/>
    <col min="13590" max="13597" width="9.1640625" style="39" bestFit="1" customWidth="1"/>
    <col min="13598" max="13599" width="8.83203125" style="39"/>
    <col min="13600" max="13600" width="11" style="39" bestFit="1" customWidth="1"/>
    <col min="13601" max="13605" width="8.83203125" style="39"/>
    <col min="13606" max="13613" width="9.1640625" style="39" bestFit="1" customWidth="1"/>
    <col min="13614" max="13615" width="8.83203125" style="39"/>
    <col min="13616" max="13616" width="11" style="39" bestFit="1" customWidth="1"/>
    <col min="13617" max="13621" width="8.83203125" style="39"/>
    <col min="13622" max="13629" width="9.1640625" style="39" bestFit="1" customWidth="1"/>
    <col min="13630" max="13631" width="8.83203125" style="39"/>
    <col min="13632" max="13632" width="11" style="39" bestFit="1" customWidth="1"/>
    <col min="13633" max="13637" width="8.83203125" style="39"/>
    <col min="13638" max="13645" width="9.1640625" style="39" bestFit="1" customWidth="1"/>
    <col min="13646" max="13647" width="8.83203125" style="39"/>
    <col min="13648" max="13648" width="11" style="39" bestFit="1" customWidth="1"/>
    <col min="13649" max="13653" width="8.83203125" style="39"/>
    <col min="13654" max="13661" width="9.1640625" style="39" bestFit="1" customWidth="1"/>
    <col min="13662" max="13663" width="8.83203125" style="39"/>
    <col min="13664" max="13664" width="11" style="39" bestFit="1" customWidth="1"/>
    <col min="13665" max="13669" width="8.83203125" style="39"/>
    <col min="13670" max="13677" width="9.1640625" style="39" bestFit="1" customWidth="1"/>
    <col min="13678" max="13679" width="8.83203125" style="39"/>
    <col min="13680" max="13680" width="11" style="39" bestFit="1" customWidth="1"/>
    <col min="13681" max="13685" width="8.83203125" style="39"/>
    <col min="13686" max="13693" width="9.1640625" style="39" bestFit="1" customWidth="1"/>
    <col min="13694" max="13695" width="8.83203125" style="39"/>
    <col min="13696" max="13696" width="11" style="39" bestFit="1" customWidth="1"/>
    <col min="13697" max="13701" width="8.83203125" style="39"/>
    <col min="13702" max="13709" width="9.1640625" style="39" bestFit="1" customWidth="1"/>
    <col min="13710" max="13711" width="8.83203125" style="39"/>
    <col min="13712" max="13712" width="11" style="39" bestFit="1" customWidth="1"/>
    <col min="13713" max="13717" width="8.83203125" style="39"/>
    <col min="13718" max="13725" width="9.1640625" style="39" bestFit="1" customWidth="1"/>
    <col min="13726" max="13727" width="8.83203125" style="39"/>
    <col min="13728" max="13728" width="11" style="39" bestFit="1" customWidth="1"/>
    <col min="13729" max="13733" width="8.83203125" style="39"/>
    <col min="13734" max="13741" width="9.1640625" style="39" bestFit="1" customWidth="1"/>
    <col min="13742" max="13743" width="8.83203125" style="39"/>
    <col min="13744" max="13744" width="11" style="39" bestFit="1" customWidth="1"/>
    <col min="13745" max="13749" width="8.83203125" style="39"/>
    <col min="13750" max="13757" width="9.1640625" style="39" bestFit="1" customWidth="1"/>
    <col min="13758" max="13759" width="8.83203125" style="39"/>
    <col min="13760" max="13760" width="11" style="39" bestFit="1" customWidth="1"/>
    <col min="13761" max="13765" width="8.83203125" style="39"/>
    <col min="13766" max="13773" width="9.1640625" style="39" bestFit="1" customWidth="1"/>
    <col min="13774" max="13775" width="8.83203125" style="39"/>
    <col min="13776" max="13776" width="11" style="39" bestFit="1" customWidth="1"/>
    <col min="13777" max="13781" width="8.83203125" style="39"/>
    <col min="13782" max="13789" width="9.1640625" style="39" bestFit="1" customWidth="1"/>
    <col min="13790" max="13791" width="8.83203125" style="39"/>
    <col min="13792" max="13792" width="11" style="39" bestFit="1" customWidth="1"/>
    <col min="13793" max="13797" width="8.83203125" style="39"/>
    <col min="13798" max="13805" width="9.1640625" style="39" bestFit="1" customWidth="1"/>
    <col min="13806" max="13807" width="8.83203125" style="39"/>
    <col min="13808" max="13808" width="11" style="39" bestFit="1" customWidth="1"/>
    <col min="13809" max="13813" width="8.83203125" style="39"/>
    <col min="13814" max="13821" width="9.1640625" style="39" bestFit="1" customWidth="1"/>
    <col min="13822" max="13823" width="8.83203125" style="39"/>
    <col min="13824" max="13824" width="11" style="39" bestFit="1" customWidth="1"/>
    <col min="13825" max="13829" width="8.83203125" style="39"/>
    <col min="13830" max="13837" width="9.1640625" style="39" bestFit="1" customWidth="1"/>
    <col min="13838" max="13839" width="8.83203125" style="39"/>
    <col min="13840" max="13840" width="11" style="39" bestFit="1" customWidth="1"/>
    <col min="13841" max="13845" width="8.83203125" style="39"/>
    <col min="13846" max="13853" width="9.1640625" style="39" bestFit="1" customWidth="1"/>
    <col min="13854" max="13855" width="8.83203125" style="39"/>
    <col min="13856" max="13856" width="11" style="39" bestFit="1" customWidth="1"/>
    <col min="13857" max="13861" width="8.83203125" style="39"/>
    <col min="13862" max="13869" width="9.1640625" style="39" bestFit="1" customWidth="1"/>
    <col min="13870" max="13871" width="8.83203125" style="39"/>
    <col min="13872" max="13872" width="11" style="39" bestFit="1" customWidth="1"/>
    <col min="13873" max="13877" width="8.83203125" style="39"/>
    <col min="13878" max="13885" width="9.1640625" style="39" bestFit="1" customWidth="1"/>
    <col min="13886" max="13887" width="8.83203125" style="39"/>
    <col min="13888" max="13888" width="11" style="39" bestFit="1" customWidth="1"/>
    <col min="13889" max="13893" width="8.83203125" style="39"/>
    <col min="13894" max="13901" width="9.1640625" style="39" bestFit="1" customWidth="1"/>
    <col min="13902" max="13903" width="8.83203125" style="39"/>
    <col min="13904" max="13904" width="11" style="39" bestFit="1" customWidth="1"/>
    <col min="13905" max="13909" width="8.83203125" style="39"/>
    <col min="13910" max="13917" width="9.1640625" style="39" bestFit="1" customWidth="1"/>
    <col min="13918" max="13919" width="8.83203125" style="39"/>
    <col min="13920" max="13920" width="11" style="39" bestFit="1" customWidth="1"/>
    <col min="13921" max="13925" width="8.83203125" style="39"/>
    <col min="13926" max="13933" width="9.1640625" style="39" bestFit="1" customWidth="1"/>
    <col min="13934" max="13935" width="8.83203125" style="39"/>
    <col min="13936" max="13936" width="11" style="39" bestFit="1" customWidth="1"/>
    <col min="13937" max="13941" width="8.83203125" style="39"/>
    <col min="13942" max="13949" width="9.1640625" style="39" bestFit="1" customWidth="1"/>
    <col min="13950" max="13951" width="8.83203125" style="39"/>
    <col min="13952" max="13952" width="11" style="39" bestFit="1" customWidth="1"/>
    <col min="13953" max="13957" width="8.83203125" style="39"/>
    <col min="13958" max="13965" width="9.1640625" style="39" bestFit="1" customWidth="1"/>
    <col min="13966" max="13967" width="8.83203125" style="39"/>
    <col min="13968" max="13968" width="11" style="39" bestFit="1" customWidth="1"/>
    <col min="13969" max="13973" width="8.83203125" style="39"/>
    <col min="13974" max="13981" width="9.1640625" style="39" bestFit="1" customWidth="1"/>
    <col min="13982" max="13983" width="8.83203125" style="39"/>
    <col min="13984" max="13984" width="11" style="39" bestFit="1" customWidth="1"/>
    <col min="13985" max="13989" width="8.83203125" style="39"/>
    <col min="13990" max="13997" width="9.1640625" style="39" bestFit="1" customWidth="1"/>
    <col min="13998" max="13999" width="8.83203125" style="39"/>
    <col min="14000" max="14000" width="11" style="39" bestFit="1" customWidth="1"/>
    <col min="14001" max="14005" width="8.83203125" style="39"/>
    <col min="14006" max="14013" width="9.1640625" style="39" bestFit="1" customWidth="1"/>
    <col min="14014" max="14015" width="8.83203125" style="39"/>
    <col min="14016" max="14016" width="11" style="39" bestFit="1" customWidth="1"/>
    <col min="14017" max="14021" width="8.83203125" style="39"/>
    <col min="14022" max="14029" width="9.1640625" style="39" bestFit="1" customWidth="1"/>
    <col min="14030" max="14031" width="8.83203125" style="39"/>
    <col min="14032" max="14032" width="11" style="39" bestFit="1" customWidth="1"/>
    <col min="14033" max="14037" width="8.83203125" style="39"/>
    <col min="14038" max="14045" width="9.1640625" style="39" bestFit="1" customWidth="1"/>
    <col min="14046" max="14047" width="8.83203125" style="39"/>
    <col min="14048" max="14048" width="11" style="39" bestFit="1" customWidth="1"/>
    <col min="14049" max="14053" width="8.83203125" style="39"/>
    <col min="14054" max="14061" width="9.1640625" style="39" bestFit="1" customWidth="1"/>
    <col min="14062" max="14063" width="8.83203125" style="39"/>
    <col min="14064" max="14064" width="11" style="39" bestFit="1" customWidth="1"/>
    <col min="14065" max="14069" width="8.83203125" style="39"/>
    <col min="14070" max="14077" width="9.1640625" style="39" bestFit="1" customWidth="1"/>
    <col min="14078" max="14079" width="8.83203125" style="39"/>
    <col min="14080" max="14080" width="11" style="39" bestFit="1" customWidth="1"/>
    <col min="14081" max="14085" width="8.83203125" style="39"/>
    <col min="14086" max="14093" width="9.1640625" style="39" bestFit="1" customWidth="1"/>
    <col min="14094" max="14095" width="8.83203125" style="39"/>
    <col min="14096" max="14096" width="11" style="39" bestFit="1" customWidth="1"/>
    <col min="14097" max="14101" width="8.83203125" style="39"/>
    <col min="14102" max="14109" width="9.1640625" style="39" bestFit="1" customWidth="1"/>
    <col min="14110" max="14111" width="8.83203125" style="39"/>
    <col min="14112" max="14112" width="11" style="39" bestFit="1" customWidth="1"/>
    <col min="14113" max="14117" width="8.83203125" style="39"/>
    <col min="14118" max="14125" width="9.1640625" style="39" bestFit="1" customWidth="1"/>
    <col min="14126" max="14127" width="8.83203125" style="39"/>
    <col min="14128" max="14128" width="11" style="39" bestFit="1" customWidth="1"/>
    <col min="14129" max="14133" width="8.83203125" style="39"/>
    <col min="14134" max="14141" width="9.1640625" style="39" bestFit="1" customWidth="1"/>
    <col min="14142" max="14143" width="8.83203125" style="39"/>
    <col min="14144" max="14144" width="11" style="39" bestFit="1" customWidth="1"/>
    <col min="14145" max="14149" width="8.83203125" style="39"/>
    <col min="14150" max="14157" width="9.1640625" style="39" bestFit="1" customWidth="1"/>
    <col min="14158" max="14159" width="8.83203125" style="39"/>
    <col min="14160" max="14160" width="11" style="39" bestFit="1" customWidth="1"/>
    <col min="14161" max="14165" width="8.83203125" style="39"/>
    <col min="14166" max="14173" width="9.1640625" style="39" bestFit="1" customWidth="1"/>
    <col min="14174" max="14175" width="8.83203125" style="39"/>
    <col min="14176" max="14176" width="11" style="39" bestFit="1" customWidth="1"/>
    <col min="14177" max="14181" width="8.83203125" style="39"/>
    <col min="14182" max="14189" width="9.1640625" style="39" bestFit="1" customWidth="1"/>
    <col min="14190" max="14191" width="8.83203125" style="39"/>
    <col min="14192" max="14192" width="11" style="39" bestFit="1" customWidth="1"/>
    <col min="14193" max="14197" width="8.83203125" style="39"/>
    <col min="14198" max="14205" width="9.1640625" style="39" bestFit="1" customWidth="1"/>
    <col min="14206" max="14207" width="8.83203125" style="39"/>
    <col min="14208" max="14208" width="11" style="39" bestFit="1" customWidth="1"/>
    <col min="14209" max="14213" width="8.83203125" style="39"/>
    <col min="14214" max="14221" width="9.1640625" style="39" bestFit="1" customWidth="1"/>
    <col min="14222" max="14223" width="8.83203125" style="39"/>
    <col min="14224" max="14224" width="11" style="39" bestFit="1" customWidth="1"/>
    <col min="14225" max="14229" width="8.83203125" style="39"/>
    <col min="14230" max="14237" width="9.1640625" style="39" bestFit="1" customWidth="1"/>
    <col min="14238" max="14239" width="8.83203125" style="39"/>
    <col min="14240" max="14240" width="11" style="39" bestFit="1" customWidth="1"/>
    <col min="14241" max="14245" width="8.83203125" style="39"/>
    <col min="14246" max="14253" width="9.1640625" style="39" bestFit="1" customWidth="1"/>
    <col min="14254" max="14255" width="8.83203125" style="39"/>
    <col min="14256" max="14256" width="11" style="39" bestFit="1" customWidth="1"/>
    <col min="14257" max="14261" width="8.83203125" style="39"/>
    <col min="14262" max="14269" width="9.1640625" style="39" bestFit="1" customWidth="1"/>
    <col min="14270" max="14271" width="8.83203125" style="39"/>
    <col min="14272" max="14272" width="11" style="39" bestFit="1" customWidth="1"/>
    <col min="14273" max="14277" width="8.83203125" style="39"/>
    <col min="14278" max="14285" width="9.1640625" style="39" bestFit="1" customWidth="1"/>
    <col min="14286" max="14287" width="8.83203125" style="39"/>
    <col min="14288" max="14288" width="11" style="39" bestFit="1" customWidth="1"/>
    <col min="14289" max="14293" width="8.83203125" style="39"/>
    <col min="14294" max="14301" width="9.1640625" style="39" bestFit="1" customWidth="1"/>
    <col min="14302" max="14303" width="8.83203125" style="39"/>
    <col min="14304" max="14304" width="11" style="39" bestFit="1" customWidth="1"/>
    <col min="14305" max="14309" width="8.83203125" style="39"/>
    <col min="14310" max="14317" width="9.1640625" style="39" bestFit="1" customWidth="1"/>
    <col min="14318" max="14319" width="8.83203125" style="39"/>
    <col min="14320" max="14320" width="11" style="39" bestFit="1" customWidth="1"/>
    <col min="14321" max="14325" width="8.83203125" style="39"/>
    <col min="14326" max="14333" width="9.1640625" style="39" bestFit="1" customWidth="1"/>
    <col min="14334" max="14335" width="8.83203125" style="39"/>
    <col min="14336" max="14336" width="11" style="39" bestFit="1" customWidth="1"/>
    <col min="14337" max="14341" width="8.83203125" style="39"/>
    <col min="14342" max="14349" width="9.1640625" style="39" bestFit="1" customWidth="1"/>
    <col min="14350" max="14351" width="8.83203125" style="39"/>
    <col min="14352" max="14352" width="11" style="39" bestFit="1" customWidth="1"/>
    <col min="14353" max="14357" width="8.83203125" style="39"/>
    <col min="14358" max="14365" width="9.1640625" style="39" bestFit="1" customWidth="1"/>
    <col min="14366" max="14367" width="8.83203125" style="39"/>
    <col min="14368" max="14368" width="11" style="39" bestFit="1" customWidth="1"/>
    <col min="14369" max="14373" width="8.83203125" style="39"/>
    <col min="14374" max="14381" width="9.1640625" style="39" bestFit="1" customWidth="1"/>
    <col min="14382" max="14383" width="8.83203125" style="39"/>
    <col min="14384" max="14384" width="11" style="39" bestFit="1" customWidth="1"/>
    <col min="14385" max="14389" width="8.83203125" style="39"/>
    <col min="14390" max="14397" width="9.1640625" style="39" bestFit="1" customWidth="1"/>
    <col min="14398" max="14399" width="8.83203125" style="39"/>
    <col min="14400" max="14400" width="11" style="39" bestFit="1" customWidth="1"/>
    <col min="14401" max="14405" width="8.83203125" style="39"/>
    <col min="14406" max="14413" width="9.1640625" style="39" bestFit="1" customWidth="1"/>
    <col min="14414" max="14415" width="8.83203125" style="39"/>
    <col min="14416" max="14416" width="11" style="39" bestFit="1" customWidth="1"/>
    <col min="14417" max="14421" width="8.83203125" style="39"/>
    <col min="14422" max="14429" width="9.1640625" style="39" bestFit="1" customWidth="1"/>
    <col min="14430" max="14431" width="8.83203125" style="39"/>
    <col min="14432" max="14432" width="11" style="39" bestFit="1" customWidth="1"/>
    <col min="14433" max="14437" width="8.83203125" style="39"/>
    <col min="14438" max="14445" width="9.1640625" style="39" bestFit="1" customWidth="1"/>
    <col min="14446" max="14447" width="8.83203125" style="39"/>
    <col min="14448" max="14448" width="11" style="39" bestFit="1" customWidth="1"/>
    <col min="14449" max="14453" width="8.83203125" style="39"/>
    <col min="14454" max="14461" width="9.1640625" style="39" bestFit="1" customWidth="1"/>
    <col min="14462" max="14463" width="8.83203125" style="39"/>
    <col min="14464" max="14464" width="11" style="39" bestFit="1" customWidth="1"/>
    <col min="14465" max="14469" width="8.83203125" style="39"/>
    <col min="14470" max="14477" width="9.1640625" style="39" bestFit="1" customWidth="1"/>
    <col min="14478" max="14479" width="8.83203125" style="39"/>
    <col min="14480" max="14480" width="11" style="39" bestFit="1" customWidth="1"/>
    <col min="14481" max="14485" width="8.83203125" style="39"/>
    <col min="14486" max="14493" width="9.1640625" style="39" bestFit="1" customWidth="1"/>
    <col min="14494" max="14495" width="8.83203125" style="39"/>
    <col min="14496" max="14496" width="11" style="39" bestFit="1" customWidth="1"/>
    <col min="14497" max="14501" width="8.83203125" style="39"/>
    <col min="14502" max="14509" width="9.1640625" style="39" bestFit="1" customWidth="1"/>
    <col min="14510" max="14511" width="8.83203125" style="39"/>
    <col min="14512" max="14512" width="11" style="39" bestFit="1" customWidth="1"/>
    <col min="14513" max="14517" width="8.83203125" style="39"/>
    <col min="14518" max="14525" width="9.1640625" style="39" bestFit="1" customWidth="1"/>
    <col min="14526" max="14527" width="8.83203125" style="39"/>
    <col min="14528" max="14528" width="11" style="39" bestFit="1" customWidth="1"/>
    <col min="14529" max="14533" width="8.83203125" style="39"/>
    <col min="14534" max="14541" width="9.1640625" style="39" bestFit="1" customWidth="1"/>
    <col min="14542" max="14543" width="8.83203125" style="39"/>
    <col min="14544" max="14544" width="11" style="39" bestFit="1" customWidth="1"/>
    <col min="14545" max="14549" width="8.83203125" style="39"/>
    <col min="14550" max="14557" width="9.1640625" style="39" bestFit="1" customWidth="1"/>
    <col min="14558" max="14559" width="8.83203125" style="39"/>
    <col min="14560" max="14560" width="11" style="39" bestFit="1" customWidth="1"/>
    <col min="14561" max="14565" width="8.83203125" style="39"/>
    <col min="14566" max="14573" width="9.1640625" style="39" bestFit="1" customWidth="1"/>
    <col min="14574" max="14575" width="8.83203125" style="39"/>
    <col min="14576" max="14576" width="11" style="39" bestFit="1" customWidth="1"/>
    <col min="14577" max="14581" width="8.83203125" style="39"/>
    <col min="14582" max="14589" width="9.1640625" style="39" bestFit="1" customWidth="1"/>
    <col min="14590" max="14591" width="8.83203125" style="39"/>
    <col min="14592" max="14592" width="11" style="39" bestFit="1" customWidth="1"/>
    <col min="14593" max="14597" width="8.83203125" style="39"/>
    <col min="14598" max="14605" width="9.1640625" style="39" bestFit="1" customWidth="1"/>
    <col min="14606" max="14607" width="8.83203125" style="39"/>
    <col min="14608" max="14608" width="11" style="39" bestFit="1" customWidth="1"/>
    <col min="14609" max="14613" width="8.83203125" style="39"/>
    <col min="14614" max="14621" width="9.1640625" style="39" bestFit="1" customWidth="1"/>
    <col min="14622" max="14623" width="8.83203125" style="39"/>
    <col min="14624" max="14624" width="11" style="39" bestFit="1" customWidth="1"/>
    <col min="14625" max="14629" width="8.83203125" style="39"/>
    <col min="14630" max="14637" width="9.1640625" style="39" bestFit="1" customWidth="1"/>
    <col min="14638" max="14639" width="8.83203125" style="39"/>
    <col min="14640" max="14640" width="11" style="39" bestFit="1" customWidth="1"/>
    <col min="14641" max="14645" width="8.83203125" style="39"/>
    <col min="14646" max="14653" width="9.1640625" style="39" bestFit="1" customWidth="1"/>
    <col min="14654" max="14655" width="8.83203125" style="39"/>
    <col min="14656" max="14656" width="11" style="39" bestFit="1" customWidth="1"/>
    <col min="14657" max="14661" width="8.83203125" style="39"/>
    <col min="14662" max="14669" width="9.1640625" style="39" bestFit="1" customWidth="1"/>
    <col min="14670" max="14671" width="8.83203125" style="39"/>
    <col min="14672" max="14672" width="11" style="39" bestFit="1" customWidth="1"/>
    <col min="14673" max="14677" width="8.83203125" style="39"/>
    <col min="14678" max="14685" width="9.1640625" style="39" bestFit="1" customWidth="1"/>
    <col min="14686" max="14687" width="8.83203125" style="39"/>
    <col min="14688" max="14688" width="11" style="39" bestFit="1" customWidth="1"/>
    <col min="14689" max="14693" width="8.83203125" style="39"/>
    <col min="14694" max="14701" width="9.1640625" style="39" bestFit="1" customWidth="1"/>
    <col min="14702" max="14703" width="8.83203125" style="39"/>
    <col min="14704" max="14704" width="11" style="39" bestFit="1" customWidth="1"/>
    <col min="14705" max="14709" width="8.83203125" style="39"/>
    <col min="14710" max="14717" width="9.1640625" style="39" bestFit="1" customWidth="1"/>
    <col min="14718" max="14719" width="8.83203125" style="39"/>
    <col min="14720" max="14720" width="11" style="39" bestFit="1" customWidth="1"/>
    <col min="14721" max="14725" width="8.83203125" style="39"/>
    <col min="14726" max="14733" width="9.1640625" style="39" bestFit="1" customWidth="1"/>
    <col min="14734" max="14735" width="8.83203125" style="39"/>
    <col min="14736" max="14736" width="11" style="39" bestFit="1" customWidth="1"/>
    <col min="14737" max="14741" width="8.83203125" style="39"/>
    <col min="14742" max="14749" width="9.1640625" style="39" bestFit="1" customWidth="1"/>
    <col min="14750" max="14751" width="8.83203125" style="39"/>
    <col min="14752" max="14752" width="11" style="39" bestFit="1" customWidth="1"/>
    <col min="14753" max="14757" width="8.83203125" style="39"/>
    <col min="14758" max="14765" width="9.1640625" style="39" bestFit="1" customWidth="1"/>
    <col min="14766" max="14767" width="8.83203125" style="39"/>
    <col min="14768" max="14768" width="11" style="39" bestFit="1" customWidth="1"/>
    <col min="14769" max="14773" width="8.83203125" style="39"/>
    <col min="14774" max="14781" width="9.1640625" style="39" bestFit="1" customWidth="1"/>
    <col min="14782" max="14783" width="8.83203125" style="39"/>
    <col min="14784" max="14784" width="11" style="39" bestFit="1" customWidth="1"/>
    <col min="14785" max="14789" width="8.83203125" style="39"/>
    <col min="14790" max="14797" width="9.1640625" style="39" bestFit="1" customWidth="1"/>
    <col min="14798" max="14799" width="8.83203125" style="39"/>
    <col min="14800" max="14800" width="11" style="39" bestFit="1" customWidth="1"/>
    <col min="14801" max="14805" width="8.83203125" style="39"/>
    <col min="14806" max="14813" width="9.1640625" style="39" bestFit="1" customWidth="1"/>
    <col min="14814" max="14815" width="8.83203125" style="39"/>
    <col min="14816" max="14816" width="11" style="39" bestFit="1" customWidth="1"/>
    <col min="14817" max="14821" width="8.83203125" style="39"/>
    <col min="14822" max="14829" width="9.1640625" style="39" bestFit="1" customWidth="1"/>
    <col min="14830" max="14831" width="8.83203125" style="39"/>
    <col min="14832" max="14832" width="11" style="39" bestFit="1" customWidth="1"/>
    <col min="14833" max="14837" width="8.83203125" style="39"/>
    <col min="14838" max="14845" width="9.1640625" style="39" bestFit="1" customWidth="1"/>
    <col min="14846" max="14847" width="8.83203125" style="39"/>
    <col min="14848" max="14848" width="11" style="39" bestFit="1" customWidth="1"/>
    <col min="14849" max="14853" width="8.83203125" style="39"/>
    <col min="14854" max="14861" width="9.1640625" style="39" bestFit="1" customWidth="1"/>
    <col min="14862" max="14863" width="8.83203125" style="39"/>
    <col min="14864" max="14864" width="11" style="39" bestFit="1" customWidth="1"/>
    <col min="14865" max="14869" width="8.83203125" style="39"/>
    <col min="14870" max="14877" width="9.1640625" style="39" bestFit="1" customWidth="1"/>
    <col min="14878" max="14879" width="8.83203125" style="39"/>
    <col min="14880" max="14880" width="11" style="39" bestFit="1" customWidth="1"/>
    <col min="14881" max="14885" width="8.83203125" style="39"/>
    <col min="14886" max="14893" width="9.1640625" style="39" bestFit="1" customWidth="1"/>
    <col min="14894" max="14895" width="8.83203125" style="39"/>
    <col min="14896" max="14896" width="11" style="39" bestFit="1" customWidth="1"/>
    <col min="14897" max="14901" width="8.83203125" style="39"/>
    <col min="14902" max="14909" width="9.1640625" style="39" bestFit="1" customWidth="1"/>
    <col min="14910" max="14911" width="8.83203125" style="39"/>
    <col min="14912" max="14912" width="11" style="39" bestFit="1" customWidth="1"/>
    <col min="14913" max="14917" width="8.83203125" style="39"/>
    <col min="14918" max="14925" width="9.1640625" style="39" bestFit="1" customWidth="1"/>
    <col min="14926" max="14927" width="8.83203125" style="39"/>
    <col min="14928" max="14928" width="11" style="39" bestFit="1" customWidth="1"/>
    <col min="14929" max="14933" width="8.83203125" style="39"/>
    <col min="14934" max="14941" width="9.1640625" style="39" bestFit="1" customWidth="1"/>
    <col min="14942" max="14943" width="8.83203125" style="39"/>
    <col min="14944" max="14944" width="11" style="39" bestFit="1" customWidth="1"/>
    <col min="14945" max="14949" width="8.83203125" style="39"/>
    <col min="14950" max="14957" width="9.1640625" style="39" bestFit="1" customWidth="1"/>
    <col min="14958" max="14959" width="8.83203125" style="39"/>
    <col min="14960" max="14960" width="11" style="39" bestFit="1" customWidth="1"/>
    <col min="14961" max="14965" width="8.83203125" style="39"/>
    <col min="14966" max="14973" width="9.1640625" style="39" bestFit="1" customWidth="1"/>
    <col min="14974" max="14975" width="8.83203125" style="39"/>
    <col min="14976" max="14976" width="11" style="39" bestFit="1" customWidth="1"/>
    <col min="14977" max="14981" width="8.83203125" style="39"/>
    <col min="14982" max="14989" width="9.1640625" style="39" bestFit="1" customWidth="1"/>
    <col min="14990" max="14991" width="8.83203125" style="39"/>
    <col min="14992" max="14992" width="11" style="39" bestFit="1" customWidth="1"/>
    <col min="14993" max="14997" width="8.83203125" style="39"/>
    <col min="14998" max="15005" width="9.1640625" style="39" bestFit="1" customWidth="1"/>
    <col min="15006" max="15007" width="8.83203125" style="39"/>
    <col min="15008" max="15008" width="11" style="39" bestFit="1" customWidth="1"/>
    <col min="15009" max="15013" width="8.83203125" style="39"/>
    <col min="15014" max="15021" width="9.1640625" style="39" bestFit="1" customWidth="1"/>
    <col min="15022" max="15023" width="8.83203125" style="39"/>
    <col min="15024" max="15024" width="11" style="39" bestFit="1" customWidth="1"/>
    <col min="15025" max="15029" width="8.83203125" style="39"/>
    <col min="15030" max="15037" width="9.1640625" style="39" bestFit="1" customWidth="1"/>
    <col min="15038" max="15039" width="8.83203125" style="39"/>
    <col min="15040" max="15040" width="11" style="39" bestFit="1" customWidth="1"/>
    <col min="15041" max="15045" width="8.83203125" style="39"/>
    <col min="15046" max="15053" width="9.1640625" style="39" bestFit="1" customWidth="1"/>
    <col min="15054" max="15055" width="8.83203125" style="39"/>
    <col min="15056" max="15056" width="11" style="39" bestFit="1" customWidth="1"/>
    <col min="15057" max="15061" width="8.83203125" style="39"/>
    <col min="15062" max="15069" width="9.1640625" style="39" bestFit="1" customWidth="1"/>
    <col min="15070" max="15071" width="8.83203125" style="39"/>
    <col min="15072" max="15072" width="11" style="39" bestFit="1" customWidth="1"/>
    <col min="15073" max="15077" width="8.83203125" style="39"/>
    <col min="15078" max="15085" width="9.1640625" style="39" bestFit="1" customWidth="1"/>
    <col min="15086" max="15087" width="8.83203125" style="39"/>
    <col min="15088" max="15088" width="11" style="39" bestFit="1" customWidth="1"/>
    <col min="15089" max="15093" width="8.83203125" style="39"/>
    <col min="15094" max="15101" width="9.1640625" style="39" bestFit="1" customWidth="1"/>
    <col min="15102" max="15103" width="8.83203125" style="39"/>
    <col min="15104" max="15104" width="11" style="39" bestFit="1" customWidth="1"/>
    <col min="15105" max="15109" width="8.83203125" style="39"/>
    <col min="15110" max="15117" width="9.1640625" style="39" bestFit="1" customWidth="1"/>
    <col min="15118" max="15119" width="8.83203125" style="39"/>
    <col min="15120" max="15120" width="11" style="39" bestFit="1" customWidth="1"/>
    <col min="15121" max="15125" width="8.83203125" style="39"/>
    <col min="15126" max="15133" width="9.1640625" style="39" bestFit="1" customWidth="1"/>
    <col min="15134" max="15135" width="8.83203125" style="39"/>
    <col min="15136" max="15136" width="11" style="39" bestFit="1" customWidth="1"/>
    <col min="15137" max="15141" width="8.83203125" style="39"/>
    <col min="15142" max="15149" width="9.1640625" style="39" bestFit="1" customWidth="1"/>
    <col min="15150" max="15151" width="8.83203125" style="39"/>
    <col min="15152" max="15152" width="11" style="39" bestFit="1" customWidth="1"/>
    <col min="15153" max="15157" width="8.83203125" style="39"/>
    <col min="15158" max="15165" width="9.1640625" style="39" bestFit="1" customWidth="1"/>
    <col min="15166" max="15167" width="8.83203125" style="39"/>
    <col min="15168" max="15168" width="11" style="39" bestFit="1" customWidth="1"/>
    <col min="15169" max="15173" width="8.83203125" style="39"/>
    <col min="15174" max="15181" width="9.1640625" style="39" bestFit="1" customWidth="1"/>
    <col min="15182" max="15183" width="8.83203125" style="39"/>
    <col min="15184" max="15184" width="11" style="39" bestFit="1" customWidth="1"/>
    <col min="15185" max="15189" width="8.83203125" style="39"/>
    <col min="15190" max="15197" width="9.1640625" style="39" bestFit="1" customWidth="1"/>
    <col min="15198" max="15199" width="8.83203125" style="39"/>
    <col min="15200" max="15200" width="11" style="39" bestFit="1" customWidth="1"/>
    <col min="15201" max="15205" width="8.83203125" style="39"/>
    <col min="15206" max="15213" width="9.1640625" style="39" bestFit="1" customWidth="1"/>
    <col min="15214" max="15215" width="8.83203125" style="39"/>
    <col min="15216" max="15216" width="11" style="39" bestFit="1" customWidth="1"/>
    <col min="15217" max="15221" width="8.83203125" style="39"/>
    <col min="15222" max="15229" width="9.1640625" style="39" bestFit="1" customWidth="1"/>
    <col min="15230" max="15231" width="8.83203125" style="39"/>
    <col min="15232" max="15232" width="11" style="39" bestFit="1" customWidth="1"/>
    <col min="15233" max="15237" width="8.83203125" style="39"/>
    <col min="15238" max="15245" width="9.1640625" style="39" bestFit="1" customWidth="1"/>
    <col min="15246" max="15247" width="8.83203125" style="39"/>
    <col min="15248" max="15248" width="11" style="39" bestFit="1" customWidth="1"/>
    <col min="15249" max="15253" width="8.83203125" style="39"/>
    <col min="15254" max="15261" width="9.1640625" style="39" bestFit="1" customWidth="1"/>
    <col min="15262" max="15263" width="8.83203125" style="39"/>
    <col min="15264" max="15264" width="11" style="39" bestFit="1" customWidth="1"/>
    <col min="15265" max="15269" width="8.83203125" style="39"/>
    <col min="15270" max="15277" width="9.1640625" style="39" bestFit="1" customWidth="1"/>
    <col min="15278" max="15279" width="8.83203125" style="39"/>
    <col min="15280" max="15280" width="11" style="39" bestFit="1" customWidth="1"/>
    <col min="15281" max="15285" width="8.83203125" style="39"/>
    <col min="15286" max="15293" width="9.1640625" style="39" bestFit="1" customWidth="1"/>
    <col min="15294" max="15295" width="8.83203125" style="39"/>
    <col min="15296" max="15296" width="11" style="39" bestFit="1" customWidth="1"/>
    <col min="15297" max="15301" width="8.83203125" style="39"/>
    <col min="15302" max="15309" width="9.1640625" style="39" bestFit="1" customWidth="1"/>
    <col min="15310" max="15311" width="8.83203125" style="39"/>
    <col min="15312" max="15312" width="11" style="39" bestFit="1" customWidth="1"/>
    <col min="15313" max="15317" width="8.83203125" style="39"/>
    <col min="15318" max="15325" width="9.1640625" style="39" bestFit="1" customWidth="1"/>
    <col min="15326" max="15327" width="8.83203125" style="39"/>
    <col min="15328" max="15328" width="11" style="39" bestFit="1" customWidth="1"/>
    <col min="15329" max="15333" width="8.83203125" style="39"/>
    <col min="15334" max="15341" width="9.1640625" style="39" bestFit="1" customWidth="1"/>
    <col min="15342" max="15343" width="8.83203125" style="39"/>
    <col min="15344" max="15344" width="11" style="39" bestFit="1" customWidth="1"/>
    <col min="15345" max="15349" width="8.83203125" style="39"/>
    <col min="15350" max="15357" width="9.1640625" style="39" bestFit="1" customWidth="1"/>
    <col min="15358" max="15359" width="8.83203125" style="39"/>
    <col min="15360" max="15360" width="11" style="39" bestFit="1" customWidth="1"/>
    <col min="15361" max="15365" width="8.83203125" style="39"/>
    <col min="15366" max="15373" width="9.1640625" style="39" bestFit="1" customWidth="1"/>
    <col min="15374" max="15375" width="8.83203125" style="39"/>
    <col min="15376" max="15376" width="11" style="39" bestFit="1" customWidth="1"/>
    <col min="15377" max="15381" width="8.83203125" style="39"/>
    <col min="15382" max="15389" width="9.1640625" style="39" bestFit="1" customWidth="1"/>
    <col min="15390" max="15391" width="8.83203125" style="39"/>
    <col min="15392" max="15392" width="11" style="39" bestFit="1" customWidth="1"/>
    <col min="15393" max="15397" width="8.83203125" style="39"/>
    <col min="15398" max="15405" width="9.1640625" style="39" bestFit="1" customWidth="1"/>
    <col min="15406" max="15407" width="8.83203125" style="39"/>
    <col min="15408" max="15408" width="11" style="39" bestFit="1" customWidth="1"/>
    <col min="15409" max="15413" width="8.83203125" style="39"/>
    <col min="15414" max="15421" width="9.1640625" style="39" bestFit="1" customWidth="1"/>
    <col min="15422" max="15423" width="8.83203125" style="39"/>
    <col min="15424" max="15424" width="11" style="39" bestFit="1" customWidth="1"/>
    <col min="15425" max="15429" width="8.83203125" style="39"/>
    <col min="15430" max="15437" width="9.1640625" style="39" bestFit="1" customWidth="1"/>
    <col min="15438" max="15439" width="8.83203125" style="39"/>
    <col min="15440" max="15440" width="11" style="39" bestFit="1" customWidth="1"/>
    <col min="15441" max="15445" width="8.83203125" style="39"/>
    <col min="15446" max="15453" width="9.1640625" style="39" bestFit="1" customWidth="1"/>
    <col min="15454" max="15455" width="8.83203125" style="39"/>
    <col min="15456" max="15456" width="11" style="39" bestFit="1" customWidth="1"/>
    <col min="15457" max="15461" width="8.83203125" style="39"/>
    <col min="15462" max="15469" width="9.1640625" style="39" bestFit="1" customWidth="1"/>
    <col min="15470" max="15471" width="8.83203125" style="39"/>
    <col min="15472" max="15472" width="11" style="39" bestFit="1" customWidth="1"/>
    <col min="15473" max="15477" width="8.83203125" style="39"/>
    <col min="15478" max="15485" width="9.1640625" style="39" bestFit="1" customWidth="1"/>
    <col min="15486" max="15487" width="8.83203125" style="39"/>
    <col min="15488" max="15488" width="11" style="39" bestFit="1" customWidth="1"/>
    <col min="15489" max="15493" width="8.83203125" style="39"/>
    <col min="15494" max="15501" width="9.1640625" style="39" bestFit="1" customWidth="1"/>
    <col min="15502" max="15503" width="8.83203125" style="39"/>
    <col min="15504" max="15504" width="11" style="39" bestFit="1" customWidth="1"/>
    <col min="15505" max="15509" width="8.83203125" style="39"/>
    <col min="15510" max="15517" width="9.1640625" style="39" bestFit="1" customWidth="1"/>
    <col min="15518" max="15519" width="8.83203125" style="39"/>
    <col min="15520" max="15520" width="11" style="39" bestFit="1" customWidth="1"/>
    <col min="15521" max="15525" width="8.83203125" style="39"/>
    <col min="15526" max="15533" width="9.1640625" style="39" bestFit="1" customWidth="1"/>
    <col min="15534" max="15535" width="8.83203125" style="39"/>
    <col min="15536" max="15536" width="11" style="39" bestFit="1" customWidth="1"/>
    <col min="15537" max="15541" width="8.83203125" style="39"/>
    <col min="15542" max="15549" width="9.1640625" style="39" bestFit="1" customWidth="1"/>
    <col min="15550" max="15551" width="8.83203125" style="39"/>
    <col min="15552" max="15552" width="11" style="39" bestFit="1" customWidth="1"/>
    <col min="15553" max="15557" width="8.83203125" style="39"/>
    <col min="15558" max="15565" width="9.1640625" style="39" bestFit="1" customWidth="1"/>
    <col min="15566" max="15567" width="8.83203125" style="39"/>
    <col min="15568" max="15568" width="11" style="39" bestFit="1" customWidth="1"/>
    <col min="15569" max="15573" width="8.83203125" style="39"/>
    <col min="15574" max="15581" width="9.1640625" style="39" bestFit="1" customWidth="1"/>
    <col min="15582" max="15583" width="8.83203125" style="39"/>
    <col min="15584" max="15584" width="11" style="39" bestFit="1" customWidth="1"/>
    <col min="15585" max="15589" width="8.83203125" style="39"/>
    <col min="15590" max="15597" width="9.1640625" style="39" bestFit="1" customWidth="1"/>
    <col min="15598" max="15599" width="8.83203125" style="39"/>
    <col min="15600" max="15600" width="11" style="39" bestFit="1" customWidth="1"/>
    <col min="15601" max="15605" width="8.83203125" style="39"/>
    <col min="15606" max="15613" width="9.1640625" style="39" bestFit="1" customWidth="1"/>
    <col min="15614" max="15615" width="8.83203125" style="39"/>
    <col min="15616" max="15616" width="11" style="39" bestFit="1" customWidth="1"/>
    <col min="15617" max="15621" width="8.83203125" style="39"/>
    <col min="15622" max="15629" width="9.1640625" style="39" bestFit="1" customWidth="1"/>
    <col min="15630" max="15631" width="8.83203125" style="39"/>
    <col min="15632" max="15632" width="11" style="39" bestFit="1" customWidth="1"/>
    <col min="15633" max="15637" width="8.83203125" style="39"/>
    <col min="15638" max="15645" width="9.1640625" style="39" bestFit="1" customWidth="1"/>
    <col min="15646" max="15647" width="8.83203125" style="39"/>
    <col min="15648" max="15648" width="11" style="39" bestFit="1" customWidth="1"/>
    <col min="15649" max="15653" width="8.83203125" style="39"/>
    <col min="15654" max="15661" width="9.1640625" style="39" bestFit="1" customWidth="1"/>
    <col min="15662" max="15663" width="8.83203125" style="39"/>
    <col min="15664" max="15664" width="11" style="39" bestFit="1" customWidth="1"/>
    <col min="15665" max="15669" width="8.83203125" style="39"/>
    <col min="15670" max="15677" width="9.1640625" style="39" bestFit="1" customWidth="1"/>
    <col min="15678" max="15679" width="8.83203125" style="39"/>
    <col min="15680" max="15680" width="11" style="39" bestFit="1" customWidth="1"/>
    <col min="15681" max="15685" width="8.83203125" style="39"/>
    <col min="15686" max="15693" width="9.1640625" style="39" bestFit="1" customWidth="1"/>
    <col min="15694" max="15695" width="8.83203125" style="39"/>
    <col min="15696" max="15696" width="11" style="39" bestFit="1" customWidth="1"/>
    <col min="15697" max="15701" width="8.83203125" style="39"/>
    <col min="15702" max="15709" width="9.1640625" style="39" bestFit="1" customWidth="1"/>
    <col min="15710" max="15711" width="8.83203125" style="39"/>
    <col min="15712" max="15712" width="11" style="39" bestFit="1" customWidth="1"/>
    <col min="15713" max="15717" width="8.83203125" style="39"/>
    <col min="15718" max="15725" width="9.1640625" style="39" bestFit="1" customWidth="1"/>
    <col min="15726" max="15727" width="8.83203125" style="39"/>
    <col min="15728" max="15728" width="11" style="39" bestFit="1" customWidth="1"/>
    <col min="15729" max="15733" width="8.83203125" style="39"/>
    <col min="15734" max="15741" width="9.1640625" style="39" bestFit="1" customWidth="1"/>
    <col min="15742" max="15743" width="8.83203125" style="39"/>
    <col min="15744" max="15744" width="11" style="39" bestFit="1" customWidth="1"/>
    <col min="15745" max="15749" width="8.83203125" style="39"/>
    <col min="15750" max="15757" width="9.1640625" style="39" bestFit="1" customWidth="1"/>
    <col min="15758" max="15759" width="8.83203125" style="39"/>
    <col min="15760" max="15760" width="11" style="39" bestFit="1" customWidth="1"/>
    <col min="15761" max="15765" width="8.83203125" style="39"/>
    <col min="15766" max="15773" width="9.1640625" style="39" bestFit="1" customWidth="1"/>
    <col min="15774" max="15775" width="8.83203125" style="39"/>
    <col min="15776" max="15776" width="11" style="39" bestFit="1" customWidth="1"/>
    <col min="15777" max="15781" width="8.83203125" style="39"/>
    <col min="15782" max="15789" width="9.1640625" style="39" bestFit="1" customWidth="1"/>
    <col min="15790" max="15791" width="8.83203125" style="39"/>
    <col min="15792" max="15792" width="11" style="39" bestFit="1" customWidth="1"/>
    <col min="15793" max="15797" width="8.83203125" style="39"/>
    <col min="15798" max="15805" width="9.1640625" style="39" bestFit="1" customWidth="1"/>
    <col min="15806" max="15807" width="8.83203125" style="39"/>
    <col min="15808" max="15808" width="11" style="39" bestFit="1" customWidth="1"/>
    <col min="15809" max="15813" width="8.83203125" style="39"/>
    <col min="15814" max="15821" width="9.1640625" style="39" bestFit="1" customWidth="1"/>
    <col min="15822" max="15823" width="8.83203125" style="39"/>
    <col min="15824" max="15824" width="11" style="39" bestFit="1" customWidth="1"/>
    <col min="15825" max="15829" width="8.83203125" style="39"/>
    <col min="15830" max="15837" width="9.1640625" style="39" bestFit="1" customWidth="1"/>
    <col min="15838" max="15839" width="8.83203125" style="39"/>
    <col min="15840" max="15840" width="11" style="39" bestFit="1" customWidth="1"/>
    <col min="15841" max="15845" width="8.83203125" style="39"/>
    <col min="15846" max="15853" width="9.1640625" style="39" bestFit="1" customWidth="1"/>
    <col min="15854" max="15855" width="8.83203125" style="39"/>
    <col min="15856" max="15856" width="11" style="39" bestFit="1" customWidth="1"/>
    <col min="15857" max="15861" width="8.83203125" style="39"/>
    <col min="15862" max="15869" width="9.1640625" style="39" bestFit="1" customWidth="1"/>
    <col min="15870" max="15871" width="8.83203125" style="39"/>
    <col min="15872" max="15872" width="11" style="39" bestFit="1" customWidth="1"/>
    <col min="15873" max="15877" width="8.83203125" style="39"/>
    <col min="15878" max="15885" width="9.1640625" style="39" bestFit="1" customWidth="1"/>
    <col min="15886" max="15887" width="8.83203125" style="39"/>
    <col min="15888" max="15888" width="11" style="39" bestFit="1" customWidth="1"/>
    <col min="15889" max="15893" width="8.83203125" style="39"/>
    <col min="15894" max="15901" width="9.1640625" style="39" bestFit="1" customWidth="1"/>
    <col min="15902" max="15903" width="8.83203125" style="39"/>
    <col min="15904" max="15904" width="11" style="39" bestFit="1" customWidth="1"/>
    <col min="15905" max="15909" width="8.83203125" style="39"/>
    <col min="15910" max="15917" width="9.1640625" style="39" bestFit="1" customWidth="1"/>
    <col min="15918" max="15919" width="8.83203125" style="39"/>
    <col min="15920" max="15920" width="11" style="39" bestFit="1" customWidth="1"/>
    <col min="15921" max="15925" width="8.83203125" style="39"/>
    <col min="15926" max="15933" width="9.1640625" style="39" bestFit="1" customWidth="1"/>
    <col min="15934" max="15935" width="8.83203125" style="39"/>
    <col min="15936" max="15936" width="11" style="39" bestFit="1" customWidth="1"/>
    <col min="15937" max="15941" width="8.83203125" style="39"/>
    <col min="15942" max="15949" width="9.1640625" style="39" bestFit="1" customWidth="1"/>
    <col min="15950" max="15951" width="8.83203125" style="39"/>
    <col min="15952" max="15952" width="11" style="39" bestFit="1" customWidth="1"/>
    <col min="15953" max="15957" width="8.83203125" style="39"/>
    <col min="15958" max="15965" width="9.1640625" style="39" bestFit="1" customWidth="1"/>
    <col min="15966" max="15967" width="8.83203125" style="39"/>
    <col min="15968" max="15968" width="11" style="39" bestFit="1" customWidth="1"/>
    <col min="15969" max="15973" width="8.83203125" style="39"/>
    <col min="15974" max="15981" width="9.1640625" style="39" bestFit="1" customWidth="1"/>
    <col min="15982" max="15983" width="8.83203125" style="39"/>
    <col min="15984" max="15984" width="11" style="39" bestFit="1" customWidth="1"/>
    <col min="15985" max="15989" width="8.83203125" style="39"/>
    <col min="15990" max="15997" width="9.1640625" style="39" bestFit="1" customWidth="1"/>
    <col min="15998" max="15999" width="8.83203125" style="39"/>
    <col min="16000" max="16000" width="11" style="39" bestFit="1" customWidth="1"/>
    <col min="16001" max="16005" width="8.83203125" style="39"/>
    <col min="16006" max="16013" width="9.1640625" style="39" bestFit="1" customWidth="1"/>
    <col min="16014" max="16015" width="8.83203125" style="39"/>
    <col min="16016" max="16016" width="11" style="39" bestFit="1" customWidth="1"/>
    <col min="16017" max="16021" width="8.83203125" style="39"/>
    <col min="16022" max="16029" width="9.1640625" style="39" bestFit="1" customWidth="1"/>
    <col min="16030" max="16031" width="8.83203125" style="39"/>
    <col min="16032" max="16032" width="11" style="39" bestFit="1" customWidth="1"/>
    <col min="16033" max="16037" width="8.83203125" style="39"/>
    <col min="16038" max="16045" width="9.1640625" style="39" bestFit="1" customWidth="1"/>
    <col min="16046" max="16047" width="8.83203125" style="39"/>
    <col min="16048" max="16048" width="11" style="39" bestFit="1" customWidth="1"/>
    <col min="16049" max="16053" width="8.83203125" style="39"/>
    <col min="16054" max="16061" width="9.1640625" style="39" bestFit="1" customWidth="1"/>
    <col min="16062" max="16063" width="8.83203125" style="39"/>
    <col min="16064" max="16064" width="11" style="39" bestFit="1" customWidth="1"/>
    <col min="16065" max="16069" width="8.83203125" style="39"/>
    <col min="16070" max="16077" width="9.1640625" style="39" bestFit="1" customWidth="1"/>
    <col min="16078" max="16079" width="8.83203125" style="39"/>
    <col min="16080" max="16080" width="11" style="39" bestFit="1" customWidth="1"/>
    <col min="16081" max="16085" width="8.83203125" style="39"/>
    <col min="16086" max="16093" width="9.1640625" style="39" bestFit="1" customWidth="1"/>
    <col min="16094" max="16095" width="8.83203125" style="39"/>
    <col min="16096" max="16096" width="11" style="39" bestFit="1" customWidth="1"/>
    <col min="16097" max="16101" width="8.83203125" style="39"/>
    <col min="16102" max="16109" width="9.1640625" style="39" bestFit="1" customWidth="1"/>
    <col min="16110" max="16111" width="8.83203125" style="39"/>
    <col min="16112" max="16112" width="11" style="39" bestFit="1" customWidth="1"/>
    <col min="16113" max="16117" width="8.83203125" style="39"/>
    <col min="16118" max="16125" width="9.1640625" style="39" bestFit="1" customWidth="1"/>
    <col min="16126" max="16127" width="8.83203125" style="39"/>
    <col min="16128" max="16128" width="11" style="39" bestFit="1" customWidth="1"/>
    <col min="16129" max="16133" width="8.83203125" style="39"/>
    <col min="16134" max="16141" width="9.1640625" style="39" bestFit="1" customWidth="1"/>
    <col min="16142" max="16143" width="8.83203125" style="39"/>
    <col min="16144" max="16144" width="11" style="39" bestFit="1" customWidth="1"/>
    <col min="16145" max="16149" width="8.83203125" style="39"/>
    <col min="16150" max="16157" width="9.1640625" style="39" bestFit="1" customWidth="1"/>
    <col min="16158" max="16159" width="8.83203125" style="39"/>
    <col min="16160" max="16160" width="11" style="39" bestFit="1" customWidth="1"/>
    <col min="16161" max="16165" width="8.83203125" style="39"/>
    <col min="16166" max="16173" width="9.1640625" style="39" bestFit="1" customWidth="1"/>
    <col min="16174" max="16175" width="8.83203125" style="39"/>
    <col min="16176" max="16176" width="11" style="39" bestFit="1" customWidth="1"/>
    <col min="16177" max="16181" width="8.83203125" style="39"/>
    <col min="16182" max="16189" width="9.1640625" style="39" bestFit="1" customWidth="1"/>
    <col min="16190" max="16191" width="8.83203125" style="39"/>
    <col min="16192" max="16192" width="11" style="39" bestFit="1" customWidth="1"/>
    <col min="16193" max="16197" width="8.83203125" style="39"/>
    <col min="16198" max="16205" width="9.1640625" style="39" bestFit="1" customWidth="1"/>
    <col min="16206" max="16207" width="8.83203125" style="39"/>
    <col min="16208" max="16208" width="11" style="39" bestFit="1" customWidth="1"/>
    <col min="16209" max="16213" width="8.83203125" style="39"/>
    <col min="16214" max="16221" width="9.1640625" style="39" bestFit="1" customWidth="1"/>
    <col min="16222" max="16223" width="8.83203125" style="39"/>
    <col min="16224" max="16224" width="11" style="39" bestFit="1" customWidth="1"/>
    <col min="16225" max="16229" width="8.83203125" style="39"/>
    <col min="16230" max="16237" width="9.1640625" style="39" bestFit="1" customWidth="1"/>
    <col min="16238" max="16239" width="8.83203125" style="39"/>
    <col min="16240" max="16240" width="11" style="39" bestFit="1" customWidth="1"/>
    <col min="16241" max="16245" width="8.83203125" style="39"/>
    <col min="16246" max="16253" width="9.1640625" style="39" bestFit="1" customWidth="1"/>
    <col min="16254" max="16255" width="8.83203125" style="39"/>
    <col min="16256" max="16256" width="11" style="39" bestFit="1" customWidth="1"/>
    <col min="16257" max="16261" width="8.83203125" style="39"/>
    <col min="16262" max="16269" width="9.1640625" style="39" bestFit="1" customWidth="1"/>
    <col min="16270" max="16271" width="8.83203125" style="39"/>
    <col min="16272" max="16272" width="11" style="39" bestFit="1" customWidth="1"/>
    <col min="16273" max="16277" width="8.83203125" style="39"/>
    <col min="16278" max="16285" width="9.1640625" style="39" bestFit="1" customWidth="1"/>
    <col min="16286" max="16287" width="8.83203125" style="39"/>
    <col min="16288" max="16288" width="11" style="39" bestFit="1" customWidth="1"/>
    <col min="16289" max="16293" width="8.83203125" style="39"/>
    <col min="16294" max="16301" width="9.1640625" style="39" bestFit="1" customWidth="1"/>
    <col min="16302" max="16303" width="8.83203125" style="39"/>
    <col min="16304" max="16304" width="11" style="39" bestFit="1" customWidth="1"/>
    <col min="16305" max="16309" width="8.83203125" style="39"/>
    <col min="16310" max="16317" width="9.1640625" style="39" bestFit="1" customWidth="1"/>
    <col min="16318" max="16319" width="8.83203125" style="39"/>
    <col min="16320" max="16320" width="11" style="39" bestFit="1" customWidth="1"/>
    <col min="16321" max="16325" width="8.83203125" style="39"/>
    <col min="16326" max="16333" width="9.1640625" style="39" bestFit="1" customWidth="1"/>
    <col min="16334" max="16335" width="8.83203125" style="39"/>
    <col min="16336" max="16336" width="11" style="39" bestFit="1" customWidth="1"/>
    <col min="16337" max="16341" width="8.83203125" style="39"/>
    <col min="16342" max="16349" width="9.1640625" style="39" bestFit="1" customWidth="1"/>
    <col min="16350" max="16351" width="8.83203125" style="39"/>
    <col min="16352" max="16352" width="11" style="39" bestFit="1" customWidth="1"/>
    <col min="16353" max="16357" width="8.83203125" style="39"/>
    <col min="16358" max="16365" width="9.1640625" style="39" bestFit="1" customWidth="1"/>
    <col min="16366" max="16367" width="8.83203125" style="39"/>
    <col min="16368" max="16368" width="11" style="39" bestFit="1" customWidth="1"/>
    <col min="16369" max="16373" width="8.83203125" style="39"/>
    <col min="16374" max="16381" width="9.1640625" style="39" bestFit="1" customWidth="1"/>
    <col min="16382" max="16384" width="8.83203125" style="39"/>
  </cols>
  <sheetData>
    <row r="1" spans="1:20" ht="34" x14ac:dyDescent="0.2">
      <c r="A1" s="35" t="s">
        <v>1</v>
      </c>
      <c r="B1" s="36" t="s">
        <v>2</v>
      </c>
      <c r="C1" s="36" t="s">
        <v>3</v>
      </c>
      <c r="D1" s="36" t="s">
        <v>66</v>
      </c>
      <c r="E1" s="36" t="s">
        <v>63</v>
      </c>
      <c r="F1" s="35" t="s">
        <v>22</v>
      </c>
      <c r="G1" s="35" t="s">
        <v>64</v>
      </c>
      <c r="H1" s="35" t="s">
        <v>4</v>
      </c>
      <c r="I1" s="35" t="s">
        <v>5</v>
      </c>
      <c r="J1" s="35" t="s">
        <v>6</v>
      </c>
      <c r="K1" s="35" t="s">
        <v>7</v>
      </c>
      <c r="L1" s="35" t="s">
        <v>8</v>
      </c>
      <c r="M1" s="35" t="s">
        <v>67</v>
      </c>
      <c r="N1" s="35" t="s">
        <v>9</v>
      </c>
      <c r="O1" s="35" t="s">
        <v>41</v>
      </c>
      <c r="P1" s="38">
        <f>SUM(O2:O250)</f>
        <v>11599.164999999994</v>
      </c>
      <c r="R1" s="205" t="s">
        <v>61</v>
      </c>
      <c r="S1" s="206"/>
      <c r="T1" s="207"/>
    </row>
    <row r="2" spans="1:20" ht="20" customHeight="1" x14ac:dyDescent="0.2">
      <c r="A2" s="71" t="s">
        <v>216</v>
      </c>
      <c r="B2" s="28">
        <v>45919</v>
      </c>
      <c r="C2" s="196">
        <v>45989</v>
      </c>
      <c r="D2" s="73">
        <v>48</v>
      </c>
      <c r="E2" s="73">
        <v>0</v>
      </c>
      <c r="F2" s="19" t="s">
        <v>70</v>
      </c>
      <c r="G2" s="21" t="s">
        <v>217</v>
      </c>
      <c r="H2" s="19">
        <v>0</v>
      </c>
      <c r="I2" s="19">
        <v>12</v>
      </c>
      <c r="J2" s="19">
        <v>0.75</v>
      </c>
      <c r="K2" s="19">
        <v>3</v>
      </c>
      <c r="L2" s="19">
        <v>6</v>
      </c>
      <c r="M2" s="69">
        <f t="shared" ref="M2:M9" si="0">INDEX($T$2:$T$13,MATCH(I2,$R$2:$R$13,0))</f>
        <v>0.8</v>
      </c>
      <c r="N2" s="22">
        <f t="shared" ref="N2:N9" si="1">J2*K2*L2</f>
        <v>13.5</v>
      </c>
      <c r="O2" s="40">
        <f t="shared" ref="O2:O9" si="2">N2*M2*E2</f>
        <v>0</v>
      </c>
      <c r="P2" s="198"/>
      <c r="R2" s="42">
        <v>1</v>
      </c>
      <c r="S2" s="43" t="s">
        <v>12</v>
      </c>
      <c r="T2" s="44">
        <v>0.37</v>
      </c>
    </row>
    <row r="3" spans="1:20" ht="20" customHeight="1" x14ac:dyDescent="0.2">
      <c r="A3" s="19" t="s">
        <v>218</v>
      </c>
      <c r="B3" s="28">
        <v>45919</v>
      </c>
      <c r="C3" s="197"/>
      <c r="D3" s="73">
        <v>48</v>
      </c>
      <c r="E3" s="73">
        <v>0</v>
      </c>
      <c r="F3" s="21"/>
      <c r="G3" s="21"/>
      <c r="H3" s="19">
        <v>0</v>
      </c>
      <c r="I3" s="19">
        <v>1</v>
      </c>
      <c r="J3" s="19">
        <f>3-J2</f>
        <v>2.25</v>
      </c>
      <c r="K3" s="19">
        <v>3</v>
      </c>
      <c r="L3" s="19">
        <v>6</v>
      </c>
      <c r="M3" s="69">
        <f t="shared" si="0"/>
        <v>0.37</v>
      </c>
      <c r="N3" s="22">
        <f t="shared" si="1"/>
        <v>40.5</v>
      </c>
      <c r="O3" s="40">
        <f t="shared" si="2"/>
        <v>0</v>
      </c>
      <c r="P3" s="199"/>
      <c r="R3" s="42">
        <v>2</v>
      </c>
      <c r="S3" s="43" t="s">
        <v>13</v>
      </c>
      <c r="T3" s="44">
        <v>0.37</v>
      </c>
    </row>
    <row r="4" spans="1:20" ht="20" customHeight="1" x14ac:dyDescent="0.2">
      <c r="A4" s="71" t="s">
        <v>87</v>
      </c>
      <c r="B4" s="28">
        <v>45832</v>
      </c>
      <c r="C4" s="196">
        <v>45997</v>
      </c>
      <c r="D4" s="73">
        <v>49</v>
      </c>
      <c r="E4" s="73">
        <v>1</v>
      </c>
      <c r="F4" s="19" t="s">
        <v>70</v>
      </c>
      <c r="G4" s="19" t="s">
        <v>88</v>
      </c>
      <c r="H4" s="19">
        <v>0</v>
      </c>
      <c r="I4" s="19">
        <v>12</v>
      </c>
      <c r="J4" s="19">
        <v>0.75</v>
      </c>
      <c r="K4" s="19">
        <v>2.5</v>
      </c>
      <c r="L4" s="19">
        <v>4</v>
      </c>
      <c r="M4" s="69">
        <f t="shared" si="0"/>
        <v>0.8</v>
      </c>
      <c r="N4" s="22">
        <f t="shared" si="1"/>
        <v>7.5</v>
      </c>
      <c r="O4" s="40">
        <f t="shared" si="2"/>
        <v>6</v>
      </c>
      <c r="P4" s="198" t="s">
        <v>89</v>
      </c>
      <c r="R4" s="42">
        <v>3</v>
      </c>
      <c r="S4" s="43" t="s">
        <v>14</v>
      </c>
      <c r="T4" s="44">
        <v>0.37</v>
      </c>
    </row>
    <row r="5" spans="1:20" ht="20" customHeight="1" x14ac:dyDescent="0.2">
      <c r="A5" s="19" t="s">
        <v>90</v>
      </c>
      <c r="B5" s="28">
        <v>45832</v>
      </c>
      <c r="C5" s="203"/>
      <c r="D5" s="73">
        <v>49</v>
      </c>
      <c r="E5" s="73">
        <v>1</v>
      </c>
      <c r="F5" s="19"/>
      <c r="G5" s="19"/>
      <c r="H5" s="19">
        <v>0</v>
      </c>
      <c r="I5" s="19">
        <v>1</v>
      </c>
      <c r="J5" s="19">
        <v>0.75</v>
      </c>
      <c r="K5" s="19">
        <v>2.5</v>
      </c>
      <c r="L5" s="19">
        <v>4</v>
      </c>
      <c r="M5" s="69">
        <f t="shared" si="0"/>
        <v>0.37</v>
      </c>
      <c r="N5" s="22">
        <f t="shared" si="1"/>
        <v>7.5</v>
      </c>
      <c r="O5" s="40">
        <f t="shared" si="2"/>
        <v>2.7749999999999999</v>
      </c>
      <c r="P5" s="204"/>
      <c r="R5" s="42">
        <v>4</v>
      </c>
      <c r="S5" s="43" t="s">
        <v>58</v>
      </c>
      <c r="T5" s="44">
        <v>0.37</v>
      </c>
    </row>
    <row r="6" spans="1:20" ht="20" customHeight="1" x14ac:dyDescent="0.2">
      <c r="A6" s="19" t="s">
        <v>91</v>
      </c>
      <c r="B6" s="28">
        <v>45832</v>
      </c>
      <c r="C6" s="197"/>
      <c r="D6" s="73">
        <v>49</v>
      </c>
      <c r="E6" s="73">
        <v>1</v>
      </c>
      <c r="F6" s="19"/>
      <c r="G6" s="19"/>
      <c r="H6" s="19">
        <v>0</v>
      </c>
      <c r="I6" s="19">
        <v>1</v>
      </c>
      <c r="J6" s="19">
        <v>1.5</v>
      </c>
      <c r="K6" s="19">
        <v>2.5</v>
      </c>
      <c r="L6" s="19">
        <v>4</v>
      </c>
      <c r="M6" s="69">
        <f t="shared" si="0"/>
        <v>0.37</v>
      </c>
      <c r="N6" s="22">
        <f t="shared" si="1"/>
        <v>15</v>
      </c>
      <c r="O6" s="40">
        <f t="shared" si="2"/>
        <v>5.55</v>
      </c>
      <c r="P6" s="202"/>
      <c r="R6" s="42">
        <v>5</v>
      </c>
      <c r="S6" s="43" t="s">
        <v>56</v>
      </c>
      <c r="T6" s="44">
        <v>0.37</v>
      </c>
    </row>
    <row r="7" spans="1:20" ht="20" customHeight="1" x14ac:dyDescent="0.2">
      <c r="A7" s="19" t="s">
        <v>157</v>
      </c>
      <c r="B7" s="28">
        <v>45873</v>
      </c>
      <c r="C7" s="196">
        <v>45997</v>
      </c>
      <c r="D7" s="73">
        <v>49</v>
      </c>
      <c r="E7" s="73">
        <v>1</v>
      </c>
      <c r="F7" s="19" t="s">
        <v>146</v>
      </c>
      <c r="G7" s="19" t="s">
        <v>158</v>
      </c>
      <c r="H7" s="19">
        <v>0</v>
      </c>
      <c r="I7" s="19">
        <v>12</v>
      </c>
      <c r="J7" s="19">
        <v>0.75</v>
      </c>
      <c r="K7" s="19">
        <v>2.5</v>
      </c>
      <c r="L7" s="19">
        <v>8</v>
      </c>
      <c r="M7" s="69">
        <f t="shared" si="0"/>
        <v>0.8</v>
      </c>
      <c r="N7" s="22">
        <f t="shared" si="1"/>
        <v>15</v>
      </c>
      <c r="O7" s="40">
        <f t="shared" si="2"/>
        <v>12</v>
      </c>
      <c r="P7" s="198" t="s">
        <v>159</v>
      </c>
      <c r="R7" s="42">
        <v>6</v>
      </c>
      <c r="S7" s="43" t="s">
        <v>57</v>
      </c>
      <c r="T7" s="44">
        <v>0.37</v>
      </c>
    </row>
    <row r="8" spans="1:20" ht="20" customHeight="1" x14ac:dyDescent="0.2">
      <c r="A8" s="19" t="s">
        <v>160</v>
      </c>
      <c r="B8" s="28">
        <v>45873</v>
      </c>
      <c r="C8" s="203"/>
      <c r="D8" s="73">
        <v>49</v>
      </c>
      <c r="E8" s="73">
        <v>1</v>
      </c>
      <c r="F8" s="19"/>
      <c r="G8" s="19"/>
      <c r="H8" s="19">
        <v>0</v>
      </c>
      <c r="I8" s="19">
        <v>1</v>
      </c>
      <c r="J8" s="19">
        <v>0.75</v>
      </c>
      <c r="K8" s="19">
        <v>2.5</v>
      </c>
      <c r="L8" s="19">
        <v>8</v>
      </c>
      <c r="M8" s="69">
        <f t="shared" si="0"/>
        <v>0.37</v>
      </c>
      <c r="N8" s="22">
        <f t="shared" si="1"/>
        <v>15</v>
      </c>
      <c r="O8" s="40">
        <f t="shared" si="2"/>
        <v>5.55</v>
      </c>
      <c r="P8" s="204"/>
      <c r="R8" s="42">
        <v>7</v>
      </c>
      <c r="S8" s="48" t="s">
        <v>15</v>
      </c>
      <c r="T8" s="44">
        <v>0.37</v>
      </c>
    </row>
    <row r="9" spans="1:20" ht="20" customHeight="1" thickBot="1" x14ac:dyDescent="0.25">
      <c r="A9" s="19" t="s">
        <v>161</v>
      </c>
      <c r="B9" s="28">
        <v>45873</v>
      </c>
      <c r="C9" s="197"/>
      <c r="D9" s="73">
        <v>49</v>
      </c>
      <c r="E9" s="73">
        <v>1</v>
      </c>
      <c r="F9" s="19"/>
      <c r="G9" s="19"/>
      <c r="H9" s="19">
        <v>0</v>
      </c>
      <c r="I9" s="19">
        <v>1</v>
      </c>
      <c r="J9" s="19">
        <v>1.5</v>
      </c>
      <c r="K9" s="19">
        <v>2.5</v>
      </c>
      <c r="L9" s="19">
        <v>8</v>
      </c>
      <c r="M9" s="69">
        <f t="shared" si="0"/>
        <v>0.37</v>
      </c>
      <c r="N9" s="22">
        <f t="shared" si="1"/>
        <v>30</v>
      </c>
      <c r="O9" s="40">
        <f t="shared" si="2"/>
        <v>11.1</v>
      </c>
      <c r="P9" s="202"/>
      <c r="R9" s="42">
        <v>8</v>
      </c>
      <c r="S9" s="48" t="s">
        <v>16</v>
      </c>
      <c r="T9" s="44">
        <v>0.37</v>
      </c>
    </row>
    <row r="10" spans="1:20" ht="20" customHeight="1" thickBot="1" x14ac:dyDescent="0.25">
      <c r="A10" s="90" t="s">
        <v>308</v>
      </c>
      <c r="B10" s="91">
        <v>45961</v>
      </c>
      <c r="C10" s="139">
        <v>45999</v>
      </c>
      <c r="D10" s="73">
        <v>50</v>
      </c>
      <c r="E10" s="73">
        <v>2</v>
      </c>
      <c r="F10" s="93" t="s">
        <v>70</v>
      </c>
      <c r="G10" s="93" t="s">
        <v>309</v>
      </c>
      <c r="H10" s="113">
        <v>32</v>
      </c>
      <c r="I10" s="113">
        <v>4</v>
      </c>
      <c r="J10" s="114">
        <v>2.5</v>
      </c>
      <c r="K10" s="93">
        <v>3</v>
      </c>
      <c r="L10" s="114">
        <v>4</v>
      </c>
      <c r="M10" s="69">
        <f t="shared" ref="M10:M15" si="3">INDEX($T$2:$T$13,MATCH(I10,$R$2:$R$13,0))</f>
        <v>0.37</v>
      </c>
      <c r="N10" s="22">
        <f t="shared" ref="N10:N26" si="4">J10*K10*L10</f>
        <v>30</v>
      </c>
      <c r="O10" s="40">
        <f t="shared" ref="O10:O26" si="5">N10*M10*E10</f>
        <v>22.2</v>
      </c>
      <c r="P10" s="101"/>
      <c r="R10" s="42">
        <v>9</v>
      </c>
      <c r="S10" s="48" t="s">
        <v>17</v>
      </c>
      <c r="T10" s="44">
        <v>0.37</v>
      </c>
    </row>
    <row r="11" spans="1:20" ht="32" x14ac:dyDescent="0.2">
      <c r="A11" s="71" t="s">
        <v>84</v>
      </c>
      <c r="B11" s="28">
        <v>45826</v>
      </c>
      <c r="C11" s="142">
        <v>46003</v>
      </c>
      <c r="D11" s="73">
        <v>50</v>
      </c>
      <c r="E11" s="73">
        <v>2</v>
      </c>
      <c r="F11" s="19" t="s">
        <v>70</v>
      </c>
      <c r="G11" s="19" t="s">
        <v>85</v>
      </c>
      <c r="H11" s="19">
        <v>0</v>
      </c>
      <c r="I11" s="19">
        <v>1</v>
      </c>
      <c r="J11" s="19">
        <v>1.5</v>
      </c>
      <c r="K11" s="19">
        <v>10.5</v>
      </c>
      <c r="L11" s="19">
        <v>5</v>
      </c>
      <c r="M11" s="40">
        <f t="shared" si="3"/>
        <v>0.37</v>
      </c>
      <c r="N11" s="41">
        <f t="shared" si="4"/>
        <v>78.75</v>
      </c>
      <c r="O11" s="40">
        <f t="shared" si="5"/>
        <v>58.274999999999999</v>
      </c>
      <c r="P11" s="74" t="s">
        <v>86</v>
      </c>
      <c r="R11" s="42">
        <v>10</v>
      </c>
      <c r="S11" s="48" t="s">
        <v>59</v>
      </c>
      <c r="T11" s="44">
        <v>0.37</v>
      </c>
    </row>
    <row r="12" spans="1:20" ht="20" customHeight="1" x14ac:dyDescent="0.2">
      <c r="A12" s="19" t="s">
        <v>114</v>
      </c>
      <c r="B12" s="28">
        <v>45853</v>
      </c>
      <c r="C12" s="196">
        <v>46003</v>
      </c>
      <c r="D12" s="73">
        <v>50</v>
      </c>
      <c r="E12" s="73">
        <v>2</v>
      </c>
      <c r="F12" s="19" t="s">
        <v>70</v>
      </c>
      <c r="G12" s="19" t="s">
        <v>85</v>
      </c>
      <c r="H12" s="21">
        <v>0</v>
      </c>
      <c r="I12" s="19">
        <v>12</v>
      </c>
      <c r="J12" s="23">
        <v>0.75</v>
      </c>
      <c r="K12" s="19">
        <v>2.5</v>
      </c>
      <c r="L12" s="23">
        <v>6</v>
      </c>
      <c r="M12" s="69">
        <f t="shared" si="3"/>
        <v>0.8</v>
      </c>
      <c r="N12" s="22">
        <f t="shared" si="4"/>
        <v>11.25</v>
      </c>
      <c r="O12" s="40">
        <f t="shared" si="5"/>
        <v>18</v>
      </c>
      <c r="P12" s="208" t="s">
        <v>115</v>
      </c>
      <c r="R12" s="42">
        <v>11</v>
      </c>
      <c r="S12" s="43" t="s">
        <v>18</v>
      </c>
      <c r="T12" s="44">
        <v>0.75</v>
      </c>
    </row>
    <row r="13" spans="1:20" ht="20" customHeight="1" x14ac:dyDescent="0.2">
      <c r="A13" s="19" t="s">
        <v>116</v>
      </c>
      <c r="B13" s="28">
        <v>45853</v>
      </c>
      <c r="C13" s="203"/>
      <c r="D13" s="73">
        <v>50</v>
      </c>
      <c r="E13" s="73">
        <v>2</v>
      </c>
      <c r="F13" s="19"/>
      <c r="G13" s="21"/>
      <c r="H13" s="19">
        <v>0</v>
      </c>
      <c r="I13" s="19">
        <v>1</v>
      </c>
      <c r="J13" s="19">
        <v>0.75</v>
      </c>
      <c r="K13" s="19">
        <v>2.5</v>
      </c>
      <c r="L13" s="19">
        <v>6</v>
      </c>
      <c r="M13" s="69">
        <f t="shared" si="3"/>
        <v>0.37</v>
      </c>
      <c r="N13" s="22">
        <f t="shared" si="4"/>
        <v>11.25</v>
      </c>
      <c r="O13" s="40">
        <f t="shared" si="5"/>
        <v>8.3249999999999993</v>
      </c>
      <c r="P13" s="209"/>
      <c r="R13" s="42">
        <v>12</v>
      </c>
      <c r="S13" s="48" t="s">
        <v>19</v>
      </c>
      <c r="T13" s="44">
        <v>0.8</v>
      </c>
    </row>
    <row r="14" spans="1:20" x14ac:dyDescent="0.2">
      <c r="A14" s="19" t="s">
        <v>117</v>
      </c>
      <c r="B14" s="28">
        <v>45853</v>
      </c>
      <c r="C14" s="203"/>
      <c r="D14" s="73">
        <v>50</v>
      </c>
      <c r="E14" s="73">
        <v>2</v>
      </c>
      <c r="F14" s="19"/>
      <c r="G14" s="19"/>
      <c r="H14" s="19">
        <v>0</v>
      </c>
      <c r="I14" s="19">
        <v>1</v>
      </c>
      <c r="J14" s="19">
        <v>1.5</v>
      </c>
      <c r="K14" s="19">
        <v>8</v>
      </c>
      <c r="L14" s="19">
        <v>4</v>
      </c>
      <c r="M14" s="69">
        <f t="shared" si="3"/>
        <v>0.37</v>
      </c>
      <c r="N14" s="22">
        <f t="shared" si="4"/>
        <v>48</v>
      </c>
      <c r="O14" s="40">
        <f t="shared" si="5"/>
        <v>35.519999999999996</v>
      </c>
      <c r="P14" s="209"/>
      <c r="R14" s="205" t="s">
        <v>62</v>
      </c>
      <c r="S14" s="206"/>
      <c r="T14" s="207"/>
    </row>
    <row r="15" spans="1:20" ht="20" customHeight="1" x14ac:dyDescent="0.2">
      <c r="A15" s="19" t="s">
        <v>118</v>
      </c>
      <c r="B15" s="28">
        <v>45853</v>
      </c>
      <c r="C15" s="203"/>
      <c r="D15" s="73">
        <v>50</v>
      </c>
      <c r="E15" s="73">
        <v>2</v>
      </c>
      <c r="F15" s="19"/>
      <c r="G15" s="19"/>
      <c r="H15" s="19">
        <v>0</v>
      </c>
      <c r="I15" s="19">
        <v>7</v>
      </c>
      <c r="J15" s="19">
        <v>1</v>
      </c>
      <c r="K15" s="19">
        <v>10.5</v>
      </c>
      <c r="L15" s="19">
        <v>1</v>
      </c>
      <c r="M15" s="69">
        <f t="shared" si="3"/>
        <v>0.37</v>
      </c>
      <c r="N15" s="22">
        <f t="shared" si="4"/>
        <v>10.5</v>
      </c>
      <c r="O15" s="40">
        <f t="shared" si="5"/>
        <v>7.77</v>
      </c>
      <c r="P15" s="209"/>
    </row>
    <row r="16" spans="1:20" x14ac:dyDescent="0.2">
      <c r="A16" s="19" t="s">
        <v>119</v>
      </c>
      <c r="B16" s="28">
        <v>45853</v>
      </c>
      <c r="C16" s="197"/>
      <c r="D16" s="73">
        <v>50</v>
      </c>
      <c r="E16" s="73">
        <v>2</v>
      </c>
      <c r="F16" s="19"/>
      <c r="G16" s="19"/>
      <c r="H16" s="19">
        <v>0</v>
      </c>
      <c r="I16" s="19">
        <v>1</v>
      </c>
      <c r="J16" s="19">
        <v>1.5</v>
      </c>
      <c r="K16" s="19">
        <v>10.5</v>
      </c>
      <c r="L16" s="19">
        <v>4</v>
      </c>
      <c r="M16" s="69">
        <f t="shared" ref="M16:M79" si="6">INDEX($T$2:$T$13,MATCH(I16,$R$2:$R$13,0))</f>
        <v>0.37</v>
      </c>
      <c r="N16" s="22">
        <f t="shared" si="4"/>
        <v>63</v>
      </c>
      <c r="O16" s="40">
        <f t="shared" si="5"/>
        <v>46.62</v>
      </c>
      <c r="P16" s="209"/>
    </row>
    <row r="17" spans="1:37" s="50" customFormat="1" x14ac:dyDescent="0.2">
      <c r="A17" s="19" t="s">
        <v>123</v>
      </c>
      <c r="B17" s="28">
        <v>45855</v>
      </c>
      <c r="C17" s="196">
        <v>46003</v>
      </c>
      <c r="D17" s="73">
        <v>50</v>
      </c>
      <c r="E17" s="73">
        <v>2</v>
      </c>
      <c r="F17" s="19" t="s">
        <v>70</v>
      </c>
      <c r="G17" s="19" t="s">
        <v>85</v>
      </c>
      <c r="H17" s="21">
        <v>0</v>
      </c>
      <c r="I17" s="19">
        <v>12</v>
      </c>
      <c r="J17" s="23">
        <v>0.75</v>
      </c>
      <c r="K17" s="19">
        <v>2.5</v>
      </c>
      <c r="L17" s="19">
        <v>3</v>
      </c>
      <c r="M17" s="69">
        <f t="shared" si="6"/>
        <v>0.8</v>
      </c>
      <c r="N17" s="22">
        <f t="shared" si="4"/>
        <v>5.625</v>
      </c>
      <c r="O17" s="40">
        <f t="shared" si="5"/>
        <v>9</v>
      </c>
      <c r="P17" s="208" t="s">
        <v>115</v>
      </c>
    </row>
    <row r="18" spans="1:37" s="50" customFormat="1" x14ac:dyDescent="0.2">
      <c r="A18" s="19" t="s">
        <v>124</v>
      </c>
      <c r="B18" s="28">
        <v>45855</v>
      </c>
      <c r="C18" s="203"/>
      <c r="D18" s="73">
        <v>50</v>
      </c>
      <c r="E18" s="73">
        <v>2</v>
      </c>
      <c r="F18" s="19"/>
      <c r="G18" s="19"/>
      <c r="H18" s="19">
        <v>0</v>
      </c>
      <c r="I18" s="19">
        <v>1</v>
      </c>
      <c r="J18" s="19">
        <v>1.25</v>
      </c>
      <c r="K18" s="19">
        <v>2.5</v>
      </c>
      <c r="L18" s="19">
        <v>3</v>
      </c>
      <c r="M18" s="69">
        <f t="shared" si="6"/>
        <v>0.37</v>
      </c>
      <c r="N18" s="22">
        <f t="shared" si="4"/>
        <v>9.375</v>
      </c>
      <c r="O18" s="40">
        <f t="shared" si="5"/>
        <v>6.9375</v>
      </c>
      <c r="P18" s="209"/>
    </row>
    <row r="19" spans="1:37" s="50" customFormat="1" x14ac:dyDescent="0.2">
      <c r="A19" s="19" t="s">
        <v>125</v>
      </c>
      <c r="B19" s="28">
        <v>45855</v>
      </c>
      <c r="C19" s="197"/>
      <c r="D19" s="73">
        <v>50</v>
      </c>
      <c r="E19" s="73">
        <v>2</v>
      </c>
      <c r="F19" s="19"/>
      <c r="G19" s="19"/>
      <c r="H19" s="19">
        <v>0</v>
      </c>
      <c r="I19" s="19">
        <v>1</v>
      </c>
      <c r="J19" s="19">
        <v>2</v>
      </c>
      <c r="K19" s="19">
        <v>10</v>
      </c>
      <c r="L19" s="19">
        <v>3</v>
      </c>
      <c r="M19" s="69">
        <f t="shared" si="6"/>
        <v>0.37</v>
      </c>
      <c r="N19" s="22">
        <f t="shared" si="4"/>
        <v>60</v>
      </c>
      <c r="O19" s="40">
        <f t="shared" si="5"/>
        <v>44.4</v>
      </c>
      <c r="P19" s="209"/>
    </row>
    <row r="20" spans="1:37" s="50" customFormat="1" x14ac:dyDescent="0.2">
      <c r="A20" s="71" t="s">
        <v>129</v>
      </c>
      <c r="B20" s="28">
        <v>45859</v>
      </c>
      <c r="C20" s="196">
        <v>46003</v>
      </c>
      <c r="D20" s="73">
        <v>50</v>
      </c>
      <c r="E20" s="73">
        <v>2</v>
      </c>
      <c r="F20" s="19" t="s">
        <v>70</v>
      </c>
      <c r="G20" s="19" t="s">
        <v>85</v>
      </c>
      <c r="H20" s="19">
        <v>0</v>
      </c>
      <c r="I20" s="19">
        <v>12</v>
      </c>
      <c r="J20" s="19">
        <v>0.75</v>
      </c>
      <c r="K20" s="19">
        <v>2.5</v>
      </c>
      <c r="L20" s="19">
        <v>10</v>
      </c>
      <c r="M20" s="69">
        <f t="shared" si="6"/>
        <v>0.8</v>
      </c>
      <c r="N20" s="22">
        <f t="shared" si="4"/>
        <v>18.75</v>
      </c>
      <c r="O20" s="40">
        <f t="shared" si="5"/>
        <v>30</v>
      </c>
      <c r="P20" s="210" t="s">
        <v>115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</row>
    <row r="21" spans="1:37" x14ac:dyDescent="0.2">
      <c r="A21" s="19" t="s">
        <v>130</v>
      </c>
      <c r="B21" s="28">
        <v>45859</v>
      </c>
      <c r="C21" s="203"/>
      <c r="D21" s="73">
        <v>50</v>
      </c>
      <c r="E21" s="73">
        <v>2</v>
      </c>
      <c r="F21" s="19"/>
      <c r="G21" s="19"/>
      <c r="H21" s="19">
        <v>0</v>
      </c>
      <c r="I21" s="19">
        <v>1</v>
      </c>
      <c r="J21" s="19">
        <v>1.25</v>
      </c>
      <c r="K21" s="19">
        <v>2.5</v>
      </c>
      <c r="L21" s="19">
        <v>10</v>
      </c>
      <c r="M21" s="69">
        <f t="shared" si="6"/>
        <v>0.37</v>
      </c>
      <c r="N21" s="22">
        <f t="shared" si="4"/>
        <v>31.25</v>
      </c>
      <c r="O21" s="40">
        <f t="shared" si="5"/>
        <v>23.125</v>
      </c>
      <c r="P21" s="211"/>
    </row>
    <row r="22" spans="1:37" x14ac:dyDescent="0.2">
      <c r="A22" s="19" t="s">
        <v>131</v>
      </c>
      <c r="B22" s="28">
        <v>45859</v>
      </c>
      <c r="C22" s="197"/>
      <c r="D22" s="73">
        <v>50</v>
      </c>
      <c r="E22" s="73">
        <v>2</v>
      </c>
      <c r="F22" s="21"/>
      <c r="G22" s="21"/>
      <c r="H22" s="19">
        <v>0</v>
      </c>
      <c r="I22" s="19">
        <v>1</v>
      </c>
      <c r="J22" s="19">
        <v>2</v>
      </c>
      <c r="K22" s="19">
        <v>10</v>
      </c>
      <c r="L22" s="19">
        <v>10</v>
      </c>
      <c r="M22" s="69">
        <f t="shared" si="6"/>
        <v>0.37</v>
      </c>
      <c r="N22" s="22">
        <f t="shared" si="4"/>
        <v>200</v>
      </c>
      <c r="O22" s="40">
        <f t="shared" si="5"/>
        <v>148</v>
      </c>
      <c r="P22" s="211"/>
    </row>
    <row r="23" spans="1:37" x14ac:dyDescent="0.2">
      <c r="A23" s="71" t="s">
        <v>167</v>
      </c>
      <c r="B23" s="28">
        <v>45892</v>
      </c>
      <c r="C23" s="196">
        <v>46003</v>
      </c>
      <c r="D23" s="73">
        <v>50</v>
      </c>
      <c r="E23" s="73">
        <v>2</v>
      </c>
      <c r="F23" s="19" t="s">
        <v>70</v>
      </c>
      <c r="G23" s="19" t="s">
        <v>85</v>
      </c>
      <c r="H23" s="19">
        <v>30</v>
      </c>
      <c r="I23" s="19">
        <v>12</v>
      </c>
      <c r="J23" s="19">
        <v>0.75</v>
      </c>
      <c r="K23" s="19">
        <v>2.5</v>
      </c>
      <c r="L23" s="19">
        <v>3</v>
      </c>
      <c r="M23" s="69">
        <f t="shared" si="6"/>
        <v>0.8</v>
      </c>
      <c r="N23" s="22">
        <f t="shared" si="4"/>
        <v>5.625</v>
      </c>
      <c r="O23" s="40">
        <f t="shared" si="5"/>
        <v>9</v>
      </c>
      <c r="P23" s="212" t="s">
        <v>115</v>
      </c>
    </row>
    <row r="24" spans="1:37" x14ac:dyDescent="0.2">
      <c r="A24" s="19" t="s">
        <v>168</v>
      </c>
      <c r="B24" s="28">
        <v>45892</v>
      </c>
      <c r="C24" s="197"/>
      <c r="D24" s="73">
        <v>50</v>
      </c>
      <c r="E24" s="73">
        <v>2</v>
      </c>
      <c r="F24" s="19"/>
      <c r="G24" s="19"/>
      <c r="H24" s="19">
        <v>30</v>
      </c>
      <c r="I24" s="19">
        <v>4</v>
      </c>
      <c r="J24" s="19">
        <f>1.5-0.75</f>
        <v>0.75</v>
      </c>
      <c r="K24" s="19">
        <v>2.5</v>
      </c>
      <c r="L24" s="19">
        <v>3</v>
      </c>
      <c r="M24" s="69">
        <f t="shared" si="6"/>
        <v>0.37</v>
      </c>
      <c r="N24" s="22">
        <f t="shared" si="4"/>
        <v>5.625</v>
      </c>
      <c r="O24" s="40">
        <f t="shared" si="5"/>
        <v>4.1624999999999996</v>
      </c>
      <c r="P24" s="213"/>
      <c r="Q24" s="53"/>
      <c r="R24" s="53"/>
      <c r="S24" s="53"/>
    </row>
    <row r="25" spans="1:37" x14ac:dyDescent="0.2">
      <c r="A25" s="19" t="s">
        <v>201</v>
      </c>
      <c r="B25" s="28">
        <v>45911</v>
      </c>
      <c r="C25" s="142">
        <v>46003</v>
      </c>
      <c r="D25" s="73">
        <v>50</v>
      </c>
      <c r="E25" s="73">
        <v>2</v>
      </c>
      <c r="F25" s="19" t="s">
        <v>70</v>
      </c>
      <c r="G25" s="19" t="s">
        <v>85</v>
      </c>
      <c r="H25" s="19">
        <v>10</v>
      </c>
      <c r="I25" s="19">
        <v>2</v>
      </c>
      <c r="J25" s="19">
        <v>1.5</v>
      </c>
      <c r="K25" s="19">
        <v>11.5</v>
      </c>
      <c r="L25" s="19">
        <v>1</v>
      </c>
      <c r="M25" s="69">
        <f t="shared" si="6"/>
        <v>0.37</v>
      </c>
      <c r="N25" s="22">
        <f t="shared" si="4"/>
        <v>17.25</v>
      </c>
      <c r="O25" s="40">
        <f t="shared" si="5"/>
        <v>12.765000000000001</v>
      </c>
      <c r="P25" s="87" t="s">
        <v>115</v>
      </c>
    </row>
    <row r="26" spans="1:37" x14ac:dyDescent="0.2">
      <c r="A26" s="71" t="s">
        <v>191</v>
      </c>
      <c r="B26" s="28">
        <v>45906</v>
      </c>
      <c r="C26" s="142">
        <v>46007</v>
      </c>
      <c r="D26" s="73">
        <v>51</v>
      </c>
      <c r="E26" s="73">
        <v>3</v>
      </c>
      <c r="F26" s="19" t="s">
        <v>70</v>
      </c>
      <c r="G26" s="19"/>
      <c r="H26" s="19">
        <v>32</v>
      </c>
      <c r="I26" s="19">
        <v>4</v>
      </c>
      <c r="J26" s="19">
        <v>2</v>
      </c>
      <c r="K26" s="19">
        <v>3</v>
      </c>
      <c r="L26" s="19">
        <v>4</v>
      </c>
      <c r="M26" s="69">
        <f t="shared" si="6"/>
        <v>0.37</v>
      </c>
      <c r="N26" s="22">
        <f t="shared" si="4"/>
        <v>24</v>
      </c>
      <c r="O26" s="40">
        <f t="shared" si="5"/>
        <v>26.639999999999997</v>
      </c>
      <c r="P26" s="33"/>
    </row>
    <row r="27" spans="1:37" x14ac:dyDescent="0.2">
      <c r="A27" s="71" t="s">
        <v>73</v>
      </c>
      <c r="B27" s="28">
        <v>45790</v>
      </c>
      <c r="C27" s="72"/>
      <c r="D27" s="73">
        <v>52</v>
      </c>
      <c r="E27" s="73">
        <v>4</v>
      </c>
      <c r="F27" s="19" t="s">
        <v>70</v>
      </c>
      <c r="G27" s="19" t="s">
        <v>74</v>
      </c>
      <c r="H27" s="19">
        <v>0</v>
      </c>
      <c r="I27" s="19">
        <v>12</v>
      </c>
      <c r="J27" s="19">
        <v>0.75</v>
      </c>
      <c r="K27" s="19">
        <v>2.5</v>
      </c>
      <c r="L27" s="19">
        <v>30</v>
      </c>
      <c r="M27" s="40">
        <f t="shared" si="6"/>
        <v>0.8</v>
      </c>
      <c r="N27" s="41">
        <f t="shared" ref="N27:N33" si="7">J27*K27*L27</f>
        <v>56.25</v>
      </c>
      <c r="O27" s="40">
        <f t="shared" ref="O27:O39" si="8">N27*M27*E27</f>
        <v>180</v>
      </c>
      <c r="P27" s="46"/>
      <c r="Q27" s="50"/>
      <c r="R27" s="50"/>
      <c r="S27" s="50"/>
    </row>
    <row r="28" spans="1:37" s="50" customFormat="1" x14ac:dyDescent="0.2">
      <c r="A28" s="19" t="s">
        <v>75</v>
      </c>
      <c r="B28" s="28">
        <v>45790</v>
      </c>
      <c r="C28" s="28"/>
      <c r="D28" s="73">
        <v>52</v>
      </c>
      <c r="E28" s="73">
        <v>4</v>
      </c>
      <c r="F28" s="19"/>
      <c r="G28" s="19"/>
      <c r="H28" s="19">
        <v>0</v>
      </c>
      <c r="I28" s="19">
        <v>1</v>
      </c>
      <c r="J28" s="19">
        <v>0.25</v>
      </c>
      <c r="K28" s="19">
        <v>2.5</v>
      </c>
      <c r="L28" s="19">
        <v>30</v>
      </c>
      <c r="M28" s="40">
        <f t="shared" si="6"/>
        <v>0.37</v>
      </c>
      <c r="N28" s="41">
        <f t="shared" si="7"/>
        <v>18.75</v>
      </c>
      <c r="O28" s="40">
        <f t="shared" si="8"/>
        <v>27.75</v>
      </c>
      <c r="P28" s="46"/>
      <c r="Q28" s="39"/>
      <c r="R28" s="39"/>
      <c r="S28" s="39"/>
    </row>
    <row r="29" spans="1:37" s="50" customFormat="1" x14ac:dyDescent="0.2">
      <c r="A29" s="19" t="s">
        <v>76</v>
      </c>
      <c r="B29" s="28">
        <v>45790</v>
      </c>
      <c r="C29" s="28"/>
      <c r="D29" s="73">
        <v>52</v>
      </c>
      <c r="E29" s="73">
        <v>4</v>
      </c>
      <c r="F29" s="19"/>
      <c r="G29" s="19"/>
      <c r="H29" s="19">
        <v>0</v>
      </c>
      <c r="I29" s="19">
        <v>1</v>
      </c>
      <c r="J29" s="19">
        <v>1</v>
      </c>
      <c r="K29" s="19">
        <v>9.5</v>
      </c>
      <c r="L29" s="19">
        <v>30</v>
      </c>
      <c r="M29" s="40">
        <f t="shared" si="6"/>
        <v>0.37</v>
      </c>
      <c r="N29" s="41">
        <f t="shared" si="7"/>
        <v>285</v>
      </c>
      <c r="O29" s="40">
        <f t="shared" si="8"/>
        <v>421.8</v>
      </c>
      <c r="P29" s="46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</row>
    <row r="30" spans="1:37" x14ac:dyDescent="0.2">
      <c r="A30" s="71" t="s">
        <v>77</v>
      </c>
      <c r="B30" s="28">
        <v>45796</v>
      </c>
      <c r="C30" s="28"/>
      <c r="D30" s="73">
        <v>52</v>
      </c>
      <c r="E30" s="73">
        <v>4</v>
      </c>
      <c r="F30" s="19" t="s">
        <v>70</v>
      </c>
      <c r="G30" s="19" t="s">
        <v>78</v>
      </c>
      <c r="H30" s="19">
        <v>0</v>
      </c>
      <c r="I30" s="19">
        <v>12</v>
      </c>
      <c r="J30" s="19">
        <v>0.75</v>
      </c>
      <c r="K30" s="19">
        <v>2.5</v>
      </c>
      <c r="L30" s="19">
        <v>30</v>
      </c>
      <c r="M30" s="40">
        <f t="shared" si="6"/>
        <v>0.8</v>
      </c>
      <c r="N30" s="41">
        <f t="shared" si="7"/>
        <v>56.25</v>
      </c>
      <c r="O30" s="40">
        <f t="shared" si="8"/>
        <v>180</v>
      </c>
      <c r="P30" s="45"/>
    </row>
    <row r="31" spans="1:37" x14ac:dyDescent="0.2">
      <c r="A31" s="19" t="s">
        <v>79</v>
      </c>
      <c r="B31" s="28">
        <v>45796</v>
      </c>
      <c r="C31" s="28"/>
      <c r="D31" s="73">
        <v>52</v>
      </c>
      <c r="E31" s="73">
        <v>4</v>
      </c>
      <c r="F31" s="19"/>
      <c r="G31" s="19"/>
      <c r="H31" s="19">
        <v>0</v>
      </c>
      <c r="I31" s="19">
        <v>1</v>
      </c>
      <c r="J31" s="19">
        <v>0.25</v>
      </c>
      <c r="K31" s="19">
        <v>2.5</v>
      </c>
      <c r="L31" s="19">
        <v>30</v>
      </c>
      <c r="M31" s="40">
        <f t="shared" si="6"/>
        <v>0.37</v>
      </c>
      <c r="N31" s="41">
        <f t="shared" si="7"/>
        <v>18.75</v>
      </c>
      <c r="O31" s="40">
        <f t="shared" si="8"/>
        <v>27.75</v>
      </c>
      <c r="P31" s="46"/>
    </row>
    <row r="32" spans="1:37" x14ac:dyDescent="0.2">
      <c r="A32" s="19" t="s">
        <v>80</v>
      </c>
      <c r="B32" s="28">
        <v>45796</v>
      </c>
      <c r="C32" s="28"/>
      <c r="D32" s="73">
        <v>52</v>
      </c>
      <c r="E32" s="73">
        <v>4</v>
      </c>
      <c r="F32" s="19"/>
      <c r="G32" s="19"/>
      <c r="H32" s="19">
        <v>0</v>
      </c>
      <c r="I32" s="19">
        <v>1</v>
      </c>
      <c r="J32" s="19">
        <v>1</v>
      </c>
      <c r="K32" s="19">
        <v>9.5</v>
      </c>
      <c r="L32" s="19">
        <v>30</v>
      </c>
      <c r="M32" s="40">
        <f t="shared" si="6"/>
        <v>0.37</v>
      </c>
      <c r="N32" s="41">
        <f t="shared" si="7"/>
        <v>285</v>
      </c>
      <c r="O32" s="40">
        <f t="shared" si="8"/>
        <v>421.8</v>
      </c>
      <c r="P32" s="46"/>
    </row>
    <row r="33" spans="1:37" x14ac:dyDescent="0.2">
      <c r="A33" s="71" t="s">
        <v>82</v>
      </c>
      <c r="B33" s="28">
        <v>45806</v>
      </c>
      <c r="C33" s="28"/>
      <c r="D33" s="73">
        <v>52</v>
      </c>
      <c r="E33" s="73">
        <v>4</v>
      </c>
      <c r="F33" s="19" t="s">
        <v>70</v>
      </c>
      <c r="G33" s="19" t="s">
        <v>81</v>
      </c>
      <c r="H33" s="19">
        <v>30</v>
      </c>
      <c r="I33" s="19">
        <v>4</v>
      </c>
      <c r="J33" s="19">
        <v>1</v>
      </c>
      <c r="K33" s="19">
        <v>2.5</v>
      </c>
      <c r="L33" s="19">
        <v>3</v>
      </c>
      <c r="M33" s="40">
        <f t="shared" si="6"/>
        <v>0.37</v>
      </c>
      <c r="N33" s="41">
        <f t="shared" si="7"/>
        <v>7.5</v>
      </c>
      <c r="O33" s="40">
        <f t="shared" si="8"/>
        <v>11.1</v>
      </c>
      <c r="P33" s="74" t="s">
        <v>83</v>
      </c>
    </row>
    <row r="34" spans="1:37" x14ac:dyDescent="0.2">
      <c r="A34" s="19" t="s">
        <v>92</v>
      </c>
      <c r="B34" s="28">
        <v>45832</v>
      </c>
      <c r="C34" s="28"/>
      <c r="D34" s="73">
        <v>52</v>
      </c>
      <c r="E34" s="73">
        <v>4</v>
      </c>
      <c r="F34" s="19" t="s">
        <v>70</v>
      </c>
      <c r="G34" s="19"/>
      <c r="H34" s="19">
        <v>32</v>
      </c>
      <c r="I34" s="19">
        <v>4</v>
      </c>
      <c r="J34" s="19">
        <v>2</v>
      </c>
      <c r="K34" s="19">
        <v>3</v>
      </c>
      <c r="L34" s="19">
        <v>2</v>
      </c>
      <c r="M34" s="69">
        <f t="shared" si="6"/>
        <v>0.37</v>
      </c>
      <c r="N34" s="22">
        <f>IF((J34*K34*L34)&lt;=25,25,(J34*K34*L34))</f>
        <v>25</v>
      </c>
      <c r="O34" s="40">
        <f t="shared" si="8"/>
        <v>37</v>
      </c>
      <c r="P34" s="33"/>
    </row>
    <row r="35" spans="1:37" x14ac:dyDescent="0.2">
      <c r="A35" s="19" t="s">
        <v>93</v>
      </c>
      <c r="B35" s="28">
        <v>45832</v>
      </c>
      <c r="C35" s="28"/>
      <c r="D35" s="73">
        <v>52</v>
      </c>
      <c r="E35" s="73">
        <v>4</v>
      </c>
      <c r="F35" s="19" t="s">
        <v>70</v>
      </c>
      <c r="G35" s="19"/>
      <c r="H35" s="19">
        <v>32</v>
      </c>
      <c r="I35" s="19">
        <v>4</v>
      </c>
      <c r="J35" s="19">
        <v>2</v>
      </c>
      <c r="K35" s="19">
        <v>3</v>
      </c>
      <c r="L35" s="19">
        <v>2</v>
      </c>
      <c r="M35" s="69">
        <f t="shared" si="6"/>
        <v>0.37</v>
      </c>
      <c r="N35" s="22">
        <f>IF((J35*K35*L35)&lt;=25,25,(J35*K35*L35))</f>
        <v>25</v>
      </c>
      <c r="O35" s="40">
        <f t="shared" si="8"/>
        <v>37</v>
      </c>
      <c r="P35" s="33"/>
    </row>
    <row r="36" spans="1:37" x14ac:dyDescent="0.2">
      <c r="A36" s="19" t="s">
        <v>94</v>
      </c>
      <c r="B36" s="28">
        <v>45832</v>
      </c>
      <c r="C36" s="28"/>
      <c r="D36" s="73">
        <v>52</v>
      </c>
      <c r="E36" s="73">
        <v>4</v>
      </c>
      <c r="F36" s="19" t="s">
        <v>70</v>
      </c>
      <c r="G36" s="19"/>
      <c r="H36" s="19">
        <v>32</v>
      </c>
      <c r="I36" s="19">
        <v>4</v>
      </c>
      <c r="J36" s="19">
        <v>1</v>
      </c>
      <c r="K36" s="19">
        <v>3</v>
      </c>
      <c r="L36" s="19">
        <v>2</v>
      </c>
      <c r="M36" s="69">
        <f t="shared" si="6"/>
        <v>0.37</v>
      </c>
      <c r="N36" s="22">
        <f>IF((J36*K36*L36)&lt;=25,25,(J36*K36*L36))</f>
        <v>25</v>
      </c>
      <c r="O36" s="40">
        <f t="shared" si="8"/>
        <v>37</v>
      </c>
      <c r="P36" s="26"/>
    </row>
    <row r="37" spans="1:37" x14ac:dyDescent="0.2">
      <c r="A37" s="19" t="s">
        <v>95</v>
      </c>
      <c r="B37" s="28">
        <v>45835</v>
      </c>
      <c r="C37" s="28"/>
      <c r="D37" s="73">
        <v>52</v>
      </c>
      <c r="E37" s="73">
        <v>4</v>
      </c>
      <c r="F37" s="19" t="s">
        <v>70</v>
      </c>
      <c r="G37" s="19" t="s">
        <v>96</v>
      </c>
      <c r="H37" s="19">
        <v>0</v>
      </c>
      <c r="I37" s="19">
        <v>12</v>
      </c>
      <c r="J37" s="19">
        <v>0.75</v>
      </c>
      <c r="K37" s="19">
        <v>2.5</v>
      </c>
      <c r="L37" s="19">
        <v>30</v>
      </c>
      <c r="M37" s="69">
        <f t="shared" si="6"/>
        <v>0.8</v>
      </c>
      <c r="N37" s="22">
        <f t="shared" ref="N37:N39" si="9">J37*K37*L37</f>
        <v>56.25</v>
      </c>
      <c r="O37" s="40">
        <f t="shared" si="8"/>
        <v>180</v>
      </c>
      <c r="P37" s="25"/>
    </row>
    <row r="38" spans="1:37" x14ac:dyDescent="0.2">
      <c r="A38" s="19" t="s">
        <v>97</v>
      </c>
      <c r="B38" s="28">
        <v>45835</v>
      </c>
      <c r="C38" s="28"/>
      <c r="D38" s="73">
        <v>52</v>
      </c>
      <c r="E38" s="73">
        <v>4</v>
      </c>
      <c r="F38" s="19"/>
      <c r="G38" s="19"/>
      <c r="H38" s="19">
        <v>0</v>
      </c>
      <c r="I38" s="19">
        <v>1</v>
      </c>
      <c r="J38" s="19">
        <v>0.25</v>
      </c>
      <c r="K38" s="19">
        <v>2.5</v>
      </c>
      <c r="L38" s="19">
        <v>30</v>
      </c>
      <c r="M38" s="69">
        <f t="shared" si="6"/>
        <v>0.37</v>
      </c>
      <c r="N38" s="22">
        <f t="shared" si="9"/>
        <v>18.75</v>
      </c>
      <c r="O38" s="40">
        <f t="shared" si="8"/>
        <v>27.75</v>
      </c>
      <c r="P38" s="25"/>
    </row>
    <row r="39" spans="1:37" x14ac:dyDescent="0.2">
      <c r="A39" s="19" t="s">
        <v>98</v>
      </c>
      <c r="B39" s="28">
        <v>45835</v>
      </c>
      <c r="C39" s="28"/>
      <c r="D39" s="73">
        <v>52</v>
      </c>
      <c r="E39" s="73">
        <v>4</v>
      </c>
      <c r="F39" s="19"/>
      <c r="G39" s="19"/>
      <c r="H39" s="19">
        <v>0</v>
      </c>
      <c r="I39" s="19">
        <v>1</v>
      </c>
      <c r="J39" s="19">
        <v>1</v>
      </c>
      <c r="K39" s="19">
        <v>10</v>
      </c>
      <c r="L39" s="19">
        <v>30</v>
      </c>
      <c r="M39" s="69">
        <f t="shared" si="6"/>
        <v>0.37</v>
      </c>
      <c r="N39" s="22">
        <f t="shared" si="9"/>
        <v>300</v>
      </c>
      <c r="O39" s="40">
        <f t="shared" si="8"/>
        <v>444</v>
      </c>
      <c r="P39" s="25"/>
    </row>
    <row r="40" spans="1:37" x14ac:dyDescent="0.2">
      <c r="A40" s="71" t="s">
        <v>99</v>
      </c>
      <c r="B40" s="28">
        <v>45838</v>
      </c>
      <c r="C40" s="28"/>
      <c r="D40" s="73">
        <v>52</v>
      </c>
      <c r="E40" s="73">
        <v>4</v>
      </c>
      <c r="F40" s="19" t="s">
        <v>70</v>
      </c>
      <c r="G40" s="19" t="s">
        <v>100</v>
      </c>
      <c r="H40" s="21">
        <v>0</v>
      </c>
      <c r="I40" s="21">
        <v>12</v>
      </c>
      <c r="J40" s="23">
        <v>0.75</v>
      </c>
      <c r="K40" s="19">
        <v>3</v>
      </c>
      <c r="L40" s="23">
        <v>30</v>
      </c>
      <c r="M40" s="69">
        <f t="shared" si="6"/>
        <v>0.8</v>
      </c>
      <c r="N40" s="22">
        <f>IF((J40*K40*L40)&lt;=25,25,(J40*K40*L40))</f>
        <v>67.5</v>
      </c>
      <c r="O40" s="69">
        <f>M40*N40</f>
        <v>54</v>
      </c>
      <c r="P40" s="208" t="s">
        <v>101</v>
      </c>
    </row>
    <row r="41" spans="1:37" x14ac:dyDescent="0.2">
      <c r="A41" s="19" t="s">
        <v>102</v>
      </c>
      <c r="B41" s="28">
        <v>45838</v>
      </c>
      <c r="C41" s="28"/>
      <c r="D41" s="73">
        <v>52</v>
      </c>
      <c r="E41" s="73">
        <v>4</v>
      </c>
      <c r="F41" s="19"/>
      <c r="G41" s="19"/>
      <c r="H41" s="21">
        <v>0</v>
      </c>
      <c r="I41" s="21">
        <v>1</v>
      </c>
      <c r="J41" s="23">
        <v>1.25</v>
      </c>
      <c r="K41" s="19">
        <v>3</v>
      </c>
      <c r="L41" s="23">
        <v>30</v>
      </c>
      <c r="M41" s="69">
        <f t="shared" si="6"/>
        <v>0.37</v>
      </c>
      <c r="N41" s="22">
        <f>IF((J41*K41*L41)&lt;=25,25,(J41*K41*L41))</f>
        <v>112.5</v>
      </c>
      <c r="O41" s="69">
        <f>M41*N41</f>
        <v>41.625</v>
      </c>
      <c r="P41" s="209"/>
    </row>
    <row r="42" spans="1:37" x14ac:dyDescent="0.2">
      <c r="A42" s="19" t="s">
        <v>103</v>
      </c>
      <c r="B42" s="28">
        <v>45838</v>
      </c>
      <c r="C42" s="28"/>
      <c r="D42" s="73">
        <v>52</v>
      </c>
      <c r="E42" s="73">
        <v>4</v>
      </c>
      <c r="F42" s="19"/>
      <c r="G42" s="19"/>
      <c r="H42" s="21">
        <v>0</v>
      </c>
      <c r="I42" s="21">
        <v>1</v>
      </c>
      <c r="J42" s="23">
        <v>2</v>
      </c>
      <c r="K42" s="19">
        <v>9.5</v>
      </c>
      <c r="L42" s="23">
        <v>30</v>
      </c>
      <c r="M42" s="69">
        <f t="shared" si="6"/>
        <v>0.37</v>
      </c>
      <c r="N42" s="22">
        <f>IF((J42*K42*L42)&lt;=25,25,(J42*K42*L42))</f>
        <v>570</v>
      </c>
      <c r="O42" s="69">
        <f>M42*N42</f>
        <v>210.9</v>
      </c>
      <c r="P42" s="209"/>
    </row>
    <row r="43" spans="1:37" x14ac:dyDescent="0.2">
      <c r="A43" s="77" t="s">
        <v>104</v>
      </c>
      <c r="B43" s="72">
        <v>45849</v>
      </c>
      <c r="C43" s="72"/>
      <c r="D43" s="73">
        <v>52</v>
      </c>
      <c r="E43" s="73">
        <v>4</v>
      </c>
      <c r="F43" s="76" t="s">
        <v>70</v>
      </c>
      <c r="G43" s="76" t="s">
        <v>81</v>
      </c>
      <c r="H43" s="76">
        <v>34</v>
      </c>
      <c r="I43" s="76">
        <v>10</v>
      </c>
      <c r="J43" s="76">
        <v>1</v>
      </c>
      <c r="K43" s="76">
        <v>3</v>
      </c>
      <c r="L43" s="76">
        <v>3</v>
      </c>
      <c r="M43" s="78">
        <f t="shared" si="6"/>
        <v>0.37</v>
      </c>
      <c r="N43" s="79">
        <f t="shared" ref="N43:N75" si="10">J43*K43*L43</f>
        <v>9</v>
      </c>
      <c r="O43" s="80">
        <f t="shared" ref="O43:O75" si="11">N43*M43*E43</f>
        <v>13.32</v>
      </c>
      <c r="P43" s="81" t="s">
        <v>105</v>
      </c>
    </row>
    <row r="44" spans="1:37" x14ac:dyDescent="0.2">
      <c r="A44" s="71" t="s">
        <v>106</v>
      </c>
      <c r="B44" s="28">
        <v>45849</v>
      </c>
      <c r="C44" s="28"/>
      <c r="D44" s="73">
        <v>52</v>
      </c>
      <c r="E44" s="73">
        <v>4</v>
      </c>
      <c r="F44" s="19" t="s">
        <v>70</v>
      </c>
      <c r="G44" s="19" t="s">
        <v>81</v>
      </c>
      <c r="H44" s="19">
        <v>34</v>
      </c>
      <c r="I44" s="19">
        <v>10</v>
      </c>
      <c r="J44" s="19">
        <v>1</v>
      </c>
      <c r="K44" s="19">
        <v>2.5</v>
      </c>
      <c r="L44" s="19">
        <v>3</v>
      </c>
      <c r="M44" s="69">
        <f t="shared" si="6"/>
        <v>0.37</v>
      </c>
      <c r="N44" s="22">
        <f t="shared" si="10"/>
        <v>7.5</v>
      </c>
      <c r="O44" s="40">
        <f t="shared" si="11"/>
        <v>11.1</v>
      </c>
      <c r="P44" s="70" t="s">
        <v>107</v>
      </c>
    </row>
    <row r="45" spans="1:37" x14ac:dyDescent="0.2">
      <c r="A45" s="71" t="s">
        <v>108</v>
      </c>
      <c r="B45" s="28">
        <v>45849</v>
      </c>
      <c r="C45" s="28"/>
      <c r="D45" s="73">
        <v>52</v>
      </c>
      <c r="E45" s="73">
        <v>4</v>
      </c>
      <c r="F45" s="19" t="s">
        <v>70</v>
      </c>
      <c r="G45" s="19" t="s">
        <v>81</v>
      </c>
      <c r="H45" s="19">
        <v>34</v>
      </c>
      <c r="I45" s="19">
        <v>10</v>
      </c>
      <c r="J45" s="19">
        <v>1</v>
      </c>
      <c r="K45" s="19">
        <v>3</v>
      </c>
      <c r="L45" s="19">
        <v>2.5</v>
      </c>
      <c r="M45" s="69">
        <f t="shared" si="6"/>
        <v>0.37</v>
      </c>
      <c r="N45" s="22">
        <f t="shared" si="10"/>
        <v>7.5</v>
      </c>
      <c r="O45" s="40">
        <f t="shared" si="11"/>
        <v>11.1</v>
      </c>
      <c r="P45" s="70"/>
    </row>
    <row r="46" spans="1:37" s="50" customFormat="1" x14ac:dyDescent="0.2">
      <c r="A46" s="71" t="s">
        <v>109</v>
      </c>
      <c r="B46" s="28">
        <v>45849</v>
      </c>
      <c r="C46" s="28"/>
      <c r="D46" s="73">
        <v>52</v>
      </c>
      <c r="E46" s="73">
        <v>4</v>
      </c>
      <c r="F46" s="19" t="s">
        <v>70</v>
      </c>
      <c r="G46" s="19" t="s">
        <v>81</v>
      </c>
      <c r="H46" s="19">
        <v>34</v>
      </c>
      <c r="I46" s="19">
        <v>12</v>
      </c>
      <c r="J46" s="19">
        <v>0.75</v>
      </c>
      <c r="K46" s="19">
        <v>3</v>
      </c>
      <c r="L46" s="19">
        <v>7.5</v>
      </c>
      <c r="M46" s="69">
        <f t="shared" si="6"/>
        <v>0.8</v>
      </c>
      <c r="N46" s="22">
        <f t="shared" si="10"/>
        <v>16.875</v>
      </c>
      <c r="O46" s="40">
        <f t="shared" si="11"/>
        <v>54</v>
      </c>
      <c r="P46" s="26"/>
      <c r="Q46" s="52"/>
      <c r="R46" s="52"/>
      <c r="S46" s="52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</row>
    <row r="47" spans="1:37" x14ac:dyDescent="0.2">
      <c r="A47" s="19" t="s">
        <v>110</v>
      </c>
      <c r="B47" s="28">
        <v>45849</v>
      </c>
      <c r="C47" s="28"/>
      <c r="D47" s="73">
        <v>52</v>
      </c>
      <c r="E47" s="73">
        <v>4</v>
      </c>
      <c r="F47" s="19" t="s">
        <v>70</v>
      </c>
      <c r="G47" s="19"/>
      <c r="H47" s="19">
        <v>34</v>
      </c>
      <c r="I47" s="19">
        <v>10</v>
      </c>
      <c r="J47" s="19">
        <v>0.25</v>
      </c>
      <c r="K47" s="19">
        <v>3</v>
      </c>
      <c r="L47" s="19">
        <v>7.5</v>
      </c>
      <c r="M47" s="69">
        <f t="shared" si="6"/>
        <v>0.37</v>
      </c>
      <c r="N47" s="22">
        <f t="shared" si="10"/>
        <v>5.625</v>
      </c>
      <c r="O47" s="40">
        <f t="shared" si="11"/>
        <v>8.3249999999999993</v>
      </c>
      <c r="P47" s="33"/>
    </row>
    <row r="48" spans="1:37" x14ac:dyDescent="0.2">
      <c r="A48" s="71" t="s">
        <v>111</v>
      </c>
      <c r="B48" s="28">
        <v>45849</v>
      </c>
      <c r="C48" s="28"/>
      <c r="D48" s="73">
        <v>52</v>
      </c>
      <c r="E48" s="73">
        <v>4</v>
      </c>
      <c r="F48" s="19" t="s">
        <v>70</v>
      </c>
      <c r="G48" s="19" t="s">
        <v>81</v>
      </c>
      <c r="H48" s="8">
        <v>34</v>
      </c>
      <c r="I48" s="8">
        <v>12</v>
      </c>
      <c r="J48" s="19">
        <v>0.75</v>
      </c>
      <c r="K48" s="19">
        <v>1.5</v>
      </c>
      <c r="L48" s="19">
        <v>4</v>
      </c>
      <c r="M48" s="69">
        <f t="shared" si="6"/>
        <v>0.8</v>
      </c>
      <c r="N48" s="22">
        <f t="shared" si="10"/>
        <v>4.5</v>
      </c>
      <c r="O48" s="40">
        <f t="shared" si="11"/>
        <v>14.4</v>
      </c>
      <c r="P48" s="33"/>
    </row>
    <row r="49" spans="1:37" x14ac:dyDescent="0.2">
      <c r="A49" s="19" t="s">
        <v>112</v>
      </c>
      <c r="B49" s="28">
        <v>45849</v>
      </c>
      <c r="C49" s="28"/>
      <c r="D49" s="73">
        <v>52</v>
      </c>
      <c r="E49" s="73">
        <v>4</v>
      </c>
      <c r="F49" s="8"/>
      <c r="G49" s="8"/>
      <c r="H49" s="8">
        <v>34</v>
      </c>
      <c r="I49" s="8">
        <v>10</v>
      </c>
      <c r="J49" s="19">
        <v>1.5</v>
      </c>
      <c r="K49" s="19">
        <v>5.25</v>
      </c>
      <c r="L49" s="19">
        <v>4</v>
      </c>
      <c r="M49" s="69">
        <f t="shared" si="6"/>
        <v>0.37</v>
      </c>
      <c r="N49" s="22">
        <f t="shared" si="10"/>
        <v>31.5</v>
      </c>
      <c r="O49" s="40">
        <f t="shared" si="11"/>
        <v>46.62</v>
      </c>
      <c r="P49" s="33"/>
      <c r="Q49" s="50"/>
      <c r="R49" s="50"/>
      <c r="S49" s="50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</row>
    <row r="50" spans="1:37" s="52" customFormat="1" x14ac:dyDescent="0.2">
      <c r="A50" s="19" t="s">
        <v>113</v>
      </c>
      <c r="B50" s="28">
        <v>45849</v>
      </c>
      <c r="C50" s="28"/>
      <c r="D50" s="73">
        <v>52</v>
      </c>
      <c r="E50" s="73">
        <v>4</v>
      </c>
      <c r="F50" s="19"/>
      <c r="G50" s="19"/>
      <c r="H50" s="8">
        <v>34</v>
      </c>
      <c r="I50" s="8">
        <v>10</v>
      </c>
      <c r="J50" s="19">
        <v>1.5</v>
      </c>
      <c r="K50" s="19">
        <v>2</v>
      </c>
      <c r="L50" s="19">
        <v>4.5</v>
      </c>
      <c r="M50" s="69">
        <f t="shared" si="6"/>
        <v>0.37</v>
      </c>
      <c r="N50" s="22">
        <f t="shared" si="10"/>
        <v>13.5</v>
      </c>
      <c r="O50" s="40">
        <f t="shared" si="11"/>
        <v>19.98</v>
      </c>
      <c r="P50" s="82"/>
      <c r="Q50" s="50"/>
      <c r="R50" s="50"/>
      <c r="S50" s="50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</row>
    <row r="51" spans="1:37" x14ac:dyDescent="0.2">
      <c r="A51" s="19" t="s">
        <v>120</v>
      </c>
      <c r="B51" s="28">
        <v>45854</v>
      </c>
      <c r="C51" s="28"/>
      <c r="D51" s="73">
        <v>52</v>
      </c>
      <c r="E51" s="73">
        <v>4</v>
      </c>
      <c r="F51" s="19" t="s">
        <v>70</v>
      </c>
      <c r="G51" s="19" t="s">
        <v>121</v>
      </c>
      <c r="H51" s="19">
        <v>10</v>
      </c>
      <c r="I51" s="19">
        <v>2</v>
      </c>
      <c r="J51" s="19">
        <v>2</v>
      </c>
      <c r="K51" s="19">
        <v>12.5</v>
      </c>
      <c r="L51" s="19">
        <v>5</v>
      </c>
      <c r="M51" s="69">
        <f t="shared" si="6"/>
        <v>0.37</v>
      </c>
      <c r="N51" s="22">
        <f t="shared" si="10"/>
        <v>125</v>
      </c>
      <c r="O51" s="40">
        <f t="shared" si="11"/>
        <v>185</v>
      </c>
      <c r="P51" s="33"/>
      <c r="Q51" s="50"/>
      <c r="R51" s="50"/>
      <c r="S51" s="50"/>
    </row>
    <row r="52" spans="1:37" x14ac:dyDescent="0.2">
      <c r="A52" s="19" t="s">
        <v>122</v>
      </c>
      <c r="B52" s="28">
        <v>45854</v>
      </c>
      <c r="C52" s="28"/>
      <c r="D52" s="73">
        <v>52</v>
      </c>
      <c r="E52" s="73">
        <v>4</v>
      </c>
      <c r="F52" s="19"/>
      <c r="G52" s="19"/>
      <c r="H52" s="19">
        <v>10</v>
      </c>
      <c r="I52" s="19">
        <v>8</v>
      </c>
      <c r="J52" s="19">
        <v>2.5</v>
      </c>
      <c r="K52" s="19">
        <v>12.5</v>
      </c>
      <c r="L52" s="19">
        <v>3</v>
      </c>
      <c r="M52" s="69">
        <f t="shared" si="6"/>
        <v>0.37</v>
      </c>
      <c r="N52" s="22">
        <f t="shared" si="10"/>
        <v>93.75</v>
      </c>
      <c r="O52" s="40">
        <f t="shared" si="11"/>
        <v>138.75</v>
      </c>
      <c r="P52" s="33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</row>
    <row r="53" spans="1:37" s="50" customFormat="1" x14ac:dyDescent="0.2">
      <c r="A53" s="77" t="s">
        <v>126</v>
      </c>
      <c r="B53" s="72">
        <v>45859</v>
      </c>
      <c r="C53" s="72"/>
      <c r="D53" s="73">
        <v>52</v>
      </c>
      <c r="E53" s="73">
        <v>4</v>
      </c>
      <c r="F53" s="76" t="s">
        <v>70</v>
      </c>
      <c r="G53" s="76" t="s">
        <v>127</v>
      </c>
      <c r="H53" s="76">
        <v>0</v>
      </c>
      <c r="I53" s="76">
        <v>1</v>
      </c>
      <c r="J53" s="76">
        <v>1.5</v>
      </c>
      <c r="K53" s="76">
        <v>2</v>
      </c>
      <c r="L53" s="76">
        <v>3</v>
      </c>
      <c r="M53" s="78">
        <f t="shared" si="6"/>
        <v>0.37</v>
      </c>
      <c r="N53" s="22">
        <f t="shared" si="10"/>
        <v>9</v>
      </c>
      <c r="O53" s="40">
        <f t="shared" si="11"/>
        <v>13.32</v>
      </c>
      <c r="P53" s="83" t="s">
        <v>128</v>
      </c>
      <c r="Q53" s="39"/>
      <c r="R53" s="39"/>
      <c r="S53" s="39"/>
    </row>
    <row r="54" spans="1:37" x14ac:dyDescent="0.2">
      <c r="A54" s="19" t="s">
        <v>132</v>
      </c>
      <c r="B54" s="28">
        <v>45860</v>
      </c>
      <c r="C54" s="28"/>
      <c r="D54" s="73">
        <v>52</v>
      </c>
      <c r="E54" s="73">
        <v>4</v>
      </c>
      <c r="F54" s="19" t="s">
        <v>70</v>
      </c>
      <c r="G54" s="21" t="s">
        <v>133</v>
      </c>
      <c r="H54" s="19">
        <v>20</v>
      </c>
      <c r="I54" s="19">
        <v>9</v>
      </c>
      <c r="J54" s="19">
        <v>1</v>
      </c>
      <c r="K54" s="19">
        <v>12.5</v>
      </c>
      <c r="L54" s="19">
        <v>2</v>
      </c>
      <c r="M54" s="69">
        <f t="shared" si="6"/>
        <v>0.37</v>
      </c>
      <c r="N54" s="22">
        <f t="shared" si="10"/>
        <v>25</v>
      </c>
      <c r="O54" s="40">
        <f t="shared" si="11"/>
        <v>37</v>
      </c>
      <c r="P54" s="70" t="s">
        <v>134</v>
      </c>
    </row>
    <row r="55" spans="1:37" x14ac:dyDescent="0.2">
      <c r="A55" s="71" t="s">
        <v>135</v>
      </c>
      <c r="B55" s="28">
        <v>45861</v>
      </c>
      <c r="C55" s="28"/>
      <c r="D55" s="73">
        <v>52</v>
      </c>
      <c r="E55" s="73">
        <v>4</v>
      </c>
      <c r="F55" s="19" t="s">
        <v>70</v>
      </c>
      <c r="G55" s="19" t="s">
        <v>127</v>
      </c>
      <c r="H55" s="19">
        <v>0</v>
      </c>
      <c r="I55" s="19">
        <v>1</v>
      </c>
      <c r="J55" s="19">
        <v>1</v>
      </c>
      <c r="K55" s="19">
        <v>2.5</v>
      </c>
      <c r="L55" s="19">
        <v>3</v>
      </c>
      <c r="M55" s="69">
        <f t="shared" si="6"/>
        <v>0.37</v>
      </c>
      <c r="N55" s="22">
        <f t="shared" si="10"/>
        <v>7.5</v>
      </c>
      <c r="O55" s="40">
        <f t="shared" si="11"/>
        <v>11.1</v>
      </c>
      <c r="P55" s="25"/>
    </row>
    <row r="56" spans="1:37" x14ac:dyDescent="0.2">
      <c r="A56" s="19" t="s">
        <v>136</v>
      </c>
      <c r="B56" s="28">
        <v>45866</v>
      </c>
      <c r="C56" s="28"/>
      <c r="D56" s="73">
        <v>52</v>
      </c>
      <c r="E56" s="73">
        <v>4</v>
      </c>
      <c r="F56" s="19" t="s">
        <v>70</v>
      </c>
      <c r="G56" s="19" t="s">
        <v>127</v>
      </c>
      <c r="H56" s="19">
        <v>34</v>
      </c>
      <c r="I56" s="19">
        <v>4</v>
      </c>
      <c r="J56" s="19">
        <v>2</v>
      </c>
      <c r="K56" s="19">
        <v>5</v>
      </c>
      <c r="L56" s="19">
        <v>5</v>
      </c>
      <c r="M56" s="69">
        <f t="shared" si="6"/>
        <v>0.37</v>
      </c>
      <c r="N56" s="22">
        <f t="shared" si="10"/>
        <v>50</v>
      </c>
      <c r="O56" s="40">
        <f t="shared" si="11"/>
        <v>74</v>
      </c>
      <c r="P56" s="83" t="s">
        <v>137</v>
      </c>
    </row>
    <row r="57" spans="1:37" x14ac:dyDescent="0.2">
      <c r="A57" s="71" t="s">
        <v>138</v>
      </c>
      <c r="B57" s="28">
        <v>45868</v>
      </c>
      <c r="C57" s="28"/>
      <c r="D57" s="73">
        <v>52</v>
      </c>
      <c r="E57" s="73">
        <v>4</v>
      </c>
      <c r="F57" s="19" t="s">
        <v>70</v>
      </c>
      <c r="G57" s="19" t="s">
        <v>139</v>
      </c>
      <c r="H57" s="21">
        <v>0</v>
      </c>
      <c r="I57" s="21">
        <v>12</v>
      </c>
      <c r="J57" s="23">
        <v>0.75</v>
      </c>
      <c r="K57" s="19">
        <v>3</v>
      </c>
      <c r="L57" s="23">
        <v>30</v>
      </c>
      <c r="M57" s="69">
        <f t="shared" si="6"/>
        <v>0.8</v>
      </c>
      <c r="N57" s="22">
        <f t="shared" si="10"/>
        <v>67.5</v>
      </c>
      <c r="O57" s="40">
        <f t="shared" si="11"/>
        <v>216</v>
      </c>
      <c r="P57" s="46"/>
    </row>
    <row r="58" spans="1:37" x14ac:dyDescent="0.2">
      <c r="A58" s="19" t="s">
        <v>140</v>
      </c>
      <c r="B58" s="28">
        <v>45868</v>
      </c>
      <c r="C58" s="28"/>
      <c r="D58" s="73">
        <v>52</v>
      </c>
      <c r="E58" s="73">
        <v>4</v>
      </c>
      <c r="F58" s="19"/>
      <c r="G58" s="19"/>
      <c r="H58" s="21">
        <v>0</v>
      </c>
      <c r="I58" s="21">
        <v>1</v>
      </c>
      <c r="J58" s="23">
        <v>0.25</v>
      </c>
      <c r="K58" s="19">
        <v>3</v>
      </c>
      <c r="L58" s="23">
        <v>30</v>
      </c>
      <c r="M58" s="69">
        <f t="shared" si="6"/>
        <v>0.37</v>
      </c>
      <c r="N58" s="22">
        <f t="shared" si="10"/>
        <v>22.5</v>
      </c>
      <c r="O58" s="40">
        <f t="shared" si="11"/>
        <v>33.299999999999997</v>
      </c>
      <c r="P58" s="46"/>
    </row>
    <row r="59" spans="1:37" x14ac:dyDescent="0.2">
      <c r="A59" s="19" t="s">
        <v>141</v>
      </c>
      <c r="B59" s="28">
        <v>45868</v>
      </c>
      <c r="C59" s="28"/>
      <c r="D59" s="73">
        <v>52</v>
      </c>
      <c r="E59" s="73">
        <v>4</v>
      </c>
      <c r="F59" s="19"/>
      <c r="G59" s="19"/>
      <c r="H59" s="21">
        <v>0</v>
      </c>
      <c r="I59" s="21">
        <v>1</v>
      </c>
      <c r="J59" s="23">
        <v>1</v>
      </c>
      <c r="K59" s="19">
        <v>9.5</v>
      </c>
      <c r="L59" s="23">
        <v>30</v>
      </c>
      <c r="M59" s="69">
        <f t="shared" si="6"/>
        <v>0.37</v>
      </c>
      <c r="N59" s="22">
        <f t="shared" si="10"/>
        <v>285</v>
      </c>
      <c r="O59" s="40">
        <f t="shared" si="11"/>
        <v>421.8</v>
      </c>
      <c r="P59" s="60"/>
    </row>
    <row r="60" spans="1:37" x14ac:dyDescent="0.2">
      <c r="A60" s="19" t="s">
        <v>142</v>
      </c>
      <c r="B60" s="28">
        <v>45870</v>
      </c>
      <c r="C60" s="28"/>
      <c r="D60" s="73">
        <v>52</v>
      </c>
      <c r="E60" s="73">
        <v>4</v>
      </c>
      <c r="F60" s="19" t="s">
        <v>70</v>
      </c>
      <c r="G60" s="19" t="s">
        <v>81</v>
      </c>
      <c r="H60" s="19">
        <v>30</v>
      </c>
      <c r="I60" s="19">
        <v>4</v>
      </c>
      <c r="J60" s="19">
        <v>2</v>
      </c>
      <c r="K60" s="19">
        <v>3</v>
      </c>
      <c r="L60" s="19">
        <v>2</v>
      </c>
      <c r="M60" s="69">
        <f t="shared" si="6"/>
        <v>0.37</v>
      </c>
      <c r="N60" s="22">
        <f t="shared" si="10"/>
        <v>12</v>
      </c>
      <c r="O60" s="40">
        <f t="shared" si="11"/>
        <v>17.759999999999998</v>
      </c>
      <c r="P60" s="85" t="s">
        <v>143</v>
      </c>
    </row>
    <row r="61" spans="1:37" x14ac:dyDescent="0.2">
      <c r="A61" s="19" t="s">
        <v>144</v>
      </c>
      <c r="B61" s="28">
        <v>45870</v>
      </c>
      <c r="C61" s="28"/>
      <c r="D61" s="73">
        <v>52</v>
      </c>
      <c r="E61" s="73">
        <v>4</v>
      </c>
      <c r="F61" s="19" t="s">
        <v>70</v>
      </c>
      <c r="G61" s="19" t="s">
        <v>81</v>
      </c>
      <c r="H61" s="19">
        <v>30</v>
      </c>
      <c r="I61" s="19">
        <v>4</v>
      </c>
      <c r="J61" s="19">
        <v>2</v>
      </c>
      <c r="K61" s="19">
        <v>3</v>
      </c>
      <c r="L61" s="19">
        <v>2</v>
      </c>
      <c r="M61" s="69">
        <f t="shared" si="6"/>
        <v>0.37</v>
      </c>
      <c r="N61" s="22">
        <f t="shared" si="10"/>
        <v>12</v>
      </c>
      <c r="O61" s="40">
        <f t="shared" si="11"/>
        <v>17.759999999999998</v>
      </c>
      <c r="P61" s="86" t="s">
        <v>145</v>
      </c>
    </row>
    <row r="62" spans="1:37" x14ac:dyDescent="0.2">
      <c r="A62" s="71" t="s">
        <v>147</v>
      </c>
      <c r="B62" s="28">
        <v>45871</v>
      </c>
      <c r="C62" s="28"/>
      <c r="D62" s="73">
        <v>52</v>
      </c>
      <c r="E62" s="73">
        <v>4</v>
      </c>
      <c r="F62" s="19" t="s">
        <v>70</v>
      </c>
      <c r="G62" s="8"/>
      <c r="H62" s="8">
        <v>32</v>
      </c>
      <c r="I62" s="8">
        <v>4</v>
      </c>
      <c r="J62" s="19">
        <v>4.5</v>
      </c>
      <c r="K62" s="19">
        <v>5</v>
      </c>
      <c r="L62" s="19">
        <v>4.5</v>
      </c>
      <c r="M62" s="69">
        <f t="shared" si="6"/>
        <v>0.37</v>
      </c>
      <c r="N62" s="22">
        <f t="shared" si="10"/>
        <v>101.25</v>
      </c>
      <c r="O62" s="40">
        <f t="shared" si="11"/>
        <v>149.85</v>
      </c>
      <c r="P62" s="86" t="s">
        <v>148</v>
      </c>
    </row>
    <row r="63" spans="1:37" x14ac:dyDescent="0.2">
      <c r="A63" s="71" t="s">
        <v>149</v>
      </c>
      <c r="B63" s="28">
        <v>45871</v>
      </c>
      <c r="C63" s="28"/>
      <c r="D63" s="73">
        <v>52</v>
      </c>
      <c r="E63" s="73">
        <v>4</v>
      </c>
      <c r="F63" s="19" t="s">
        <v>70</v>
      </c>
      <c r="G63" s="19" t="s">
        <v>150</v>
      </c>
      <c r="H63" s="21">
        <v>0</v>
      </c>
      <c r="I63" s="19">
        <v>12</v>
      </c>
      <c r="J63" s="23">
        <v>0.75</v>
      </c>
      <c r="K63" s="19">
        <v>2.5</v>
      </c>
      <c r="L63" s="23">
        <v>26</v>
      </c>
      <c r="M63" s="69">
        <f t="shared" si="6"/>
        <v>0.8</v>
      </c>
      <c r="N63" s="22">
        <f t="shared" si="10"/>
        <v>48.75</v>
      </c>
      <c r="O63" s="40">
        <f t="shared" si="11"/>
        <v>156</v>
      </c>
      <c r="P63" s="123"/>
    </row>
    <row r="64" spans="1:37" x14ac:dyDescent="0.2">
      <c r="A64" s="19" t="s">
        <v>151</v>
      </c>
      <c r="B64" s="28">
        <v>45871</v>
      </c>
      <c r="C64" s="28"/>
      <c r="D64" s="73">
        <v>52</v>
      </c>
      <c r="E64" s="73">
        <v>4</v>
      </c>
      <c r="F64" s="19"/>
      <c r="G64" s="21"/>
      <c r="H64" s="19">
        <v>0</v>
      </c>
      <c r="I64" s="19">
        <v>1</v>
      </c>
      <c r="J64" s="19">
        <v>0.25</v>
      </c>
      <c r="K64" s="19">
        <v>2.5</v>
      </c>
      <c r="L64" s="19">
        <v>26</v>
      </c>
      <c r="M64" s="69">
        <f t="shared" si="6"/>
        <v>0.37</v>
      </c>
      <c r="N64" s="22">
        <f t="shared" si="10"/>
        <v>16.25</v>
      </c>
      <c r="O64" s="40">
        <f t="shared" si="11"/>
        <v>24.05</v>
      </c>
      <c r="P64" s="124"/>
    </row>
    <row r="65" spans="1:16382" x14ac:dyDescent="0.2">
      <c r="A65" s="19" t="s">
        <v>152</v>
      </c>
      <c r="B65" s="28">
        <v>45871</v>
      </c>
      <c r="C65" s="28"/>
      <c r="D65" s="73">
        <v>52</v>
      </c>
      <c r="E65" s="73">
        <v>4</v>
      </c>
      <c r="F65" s="19"/>
      <c r="G65" s="19"/>
      <c r="H65" s="19">
        <v>0</v>
      </c>
      <c r="I65" s="19">
        <v>1</v>
      </c>
      <c r="J65" s="19">
        <v>1</v>
      </c>
      <c r="K65" s="19">
        <v>10</v>
      </c>
      <c r="L65" s="19">
        <v>26</v>
      </c>
      <c r="M65" s="69">
        <f t="shared" si="6"/>
        <v>0.37</v>
      </c>
      <c r="N65" s="22">
        <f t="shared" si="10"/>
        <v>260</v>
      </c>
      <c r="O65" s="40">
        <f t="shared" si="11"/>
        <v>384.8</v>
      </c>
      <c r="P65" s="94"/>
    </row>
    <row r="66" spans="1:16382" x14ac:dyDescent="0.2">
      <c r="A66" s="71" t="s">
        <v>153</v>
      </c>
      <c r="B66" s="28">
        <v>45871</v>
      </c>
      <c r="C66" s="28"/>
      <c r="D66" s="73">
        <v>52</v>
      </c>
      <c r="E66" s="73">
        <v>4</v>
      </c>
      <c r="F66" s="19" t="s">
        <v>70</v>
      </c>
      <c r="G66" s="19" t="s">
        <v>81</v>
      </c>
      <c r="H66" s="19">
        <v>34</v>
      </c>
      <c r="I66" s="19">
        <v>12</v>
      </c>
      <c r="J66" s="19">
        <v>0.75</v>
      </c>
      <c r="K66" s="19">
        <v>3</v>
      </c>
      <c r="L66" s="19">
        <v>6</v>
      </c>
      <c r="M66" s="69">
        <f t="shared" si="6"/>
        <v>0.8</v>
      </c>
      <c r="N66" s="22">
        <f t="shared" si="10"/>
        <v>13.5</v>
      </c>
      <c r="O66" s="40">
        <f t="shared" si="11"/>
        <v>43.2</v>
      </c>
      <c r="P66" s="198" t="s">
        <v>154</v>
      </c>
    </row>
    <row r="67" spans="1:16382" x14ac:dyDescent="0.2">
      <c r="A67" s="19" t="s">
        <v>155</v>
      </c>
      <c r="B67" s="28">
        <v>45871</v>
      </c>
      <c r="C67" s="28"/>
      <c r="D67" s="73">
        <v>52</v>
      </c>
      <c r="E67" s="73">
        <v>4</v>
      </c>
      <c r="F67" s="19"/>
      <c r="G67" s="19"/>
      <c r="H67" s="19">
        <v>34</v>
      </c>
      <c r="I67" s="19">
        <v>4</v>
      </c>
      <c r="J67" s="19">
        <v>1.25</v>
      </c>
      <c r="K67" s="19">
        <v>3</v>
      </c>
      <c r="L67" s="19">
        <v>6</v>
      </c>
      <c r="M67" s="69">
        <f t="shared" si="6"/>
        <v>0.37</v>
      </c>
      <c r="N67" s="22">
        <f t="shared" si="10"/>
        <v>22.5</v>
      </c>
      <c r="O67" s="40">
        <f t="shared" si="11"/>
        <v>33.299999999999997</v>
      </c>
      <c r="P67" s="204"/>
    </row>
    <row r="68" spans="1:16382" x14ac:dyDescent="0.2">
      <c r="A68" s="19" t="s">
        <v>156</v>
      </c>
      <c r="B68" s="28">
        <v>45871</v>
      </c>
      <c r="C68" s="28"/>
      <c r="D68" s="73">
        <v>52</v>
      </c>
      <c r="E68" s="73">
        <v>4</v>
      </c>
      <c r="F68" s="19"/>
      <c r="G68" s="19"/>
      <c r="H68" s="19">
        <v>34</v>
      </c>
      <c r="I68" s="19">
        <v>10</v>
      </c>
      <c r="J68" s="19">
        <v>1</v>
      </c>
      <c r="K68" s="19">
        <v>2</v>
      </c>
      <c r="L68" s="19">
        <v>4</v>
      </c>
      <c r="M68" s="69">
        <f t="shared" si="6"/>
        <v>0.37</v>
      </c>
      <c r="N68" s="22">
        <f t="shared" si="10"/>
        <v>8</v>
      </c>
      <c r="O68" s="40">
        <f t="shared" si="11"/>
        <v>11.84</v>
      </c>
      <c r="P68" s="202"/>
    </row>
    <row r="69" spans="1:16382" x14ac:dyDescent="0.2">
      <c r="A69" s="71" t="s">
        <v>162</v>
      </c>
      <c r="B69" s="28">
        <v>45877</v>
      </c>
      <c r="C69" s="28"/>
      <c r="D69" s="73">
        <v>52</v>
      </c>
      <c r="E69" s="73">
        <v>4</v>
      </c>
      <c r="F69" s="19" t="s">
        <v>70</v>
      </c>
      <c r="G69" s="19" t="s">
        <v>163</v>
      </c>
      <c r="H69" s="19">
        <v>33</v>
      </c>
      <c r="I69" s="19">
        <v>4</v>
      </c>
      <c r="J69" s="19">
        <v>1.5</v>
      </c>
      <c r="K69" s="19">
        <v>13.5</v>
      </c>
      <c r="L69" s="19">
        <v>3</v>
      </c>
      <c r="M69" s="69">
        <f t="shared" si="6"/>
        <v>0.37</v>
      </c>
      <c r="N69" s="22">
        <f t="shared" si="10"/>
        <v>60.75</v>
      </c>
      <c r="O69" s="40">
        <f t="shared" si="11"/>
        <v>89.91</v>
      </c>
      <c r="P69" s="86" t="s">
        <v>164</v>
      </c>
    </row>
    <row r="70" spans="1:16382" x14ac:dyDescent="0.2">
      <c r="A70" s="71" t="s">
        <v>165</v>
      </c>
      <c r="B70" s="28">
        <v>45892</v>
      </c>
      <c r="C70" s="28"/>
      <c r="D70" s="73">
        <v>52</v>
      </c>
      <c r="E70" s="73">
        <v>4</v>
      </c>
      <c r="F70" s="19" t="s">
        <v>70</v>
      </c>
      <c r="G70" s="19" t="s">
        <v>166</v>
      </c>
      <c r="H70" s="19">
        <v>0</v>
      </c>
      <c r="I70" s="19">
        <v>1</v>
      </c>
      <c r="J70" s="19">
        <v>2.5</v>
      </c>
      <c r="K70" s="19">
        <v>2.5</v>
      </c>
      <c r="L70" s="19">
        <v>6</v>
      </c>
      <c r="M70" s="69">
        <f t="shared" si="6"/>
        <v>0.37</v>
      </c>
      <c r="N70" s="22">
        <f t="shared" si="10"/>
        <v>37.5</v>
      </c>
      <c r="O70" s="40">
        <f t="shared" si="11"/>
        <v>55.5</v>
      </c>
      <c r="P70" s="87" t="s">
        <v>396</v>
      </c>
    </row>
    <row r="71" spans="1:16382" x14ac:dyDescent="0.2">
      <c r="A71" s="19" t="s">
        <v>169</v>
      </c>
      <c r="B71" s="28">
        <v>45894</v>
      </c>
      <c r="C71" s="28"/>
      <c r="D71" s="73">
        <v>52</v>
      </c>
      <c r="E71" s="73">
        <v>4</v>
      </c>
      <c r="F71" s="19" t="s">
        <v>70</v>
      </c>
      <c r="G71" s="19" t="s">
        <v>166</v>
      </c>
      <c r="H71" s="19">
        <v>0</v>
      </c>
      <c r="I71" s="19">
        <v>1</v>
      </c>
      <c r="J71" s="19">
        <v>2.5</v>
      </c>
      <c r="K71" s="19">
        <v>2.5</v>
      </c>
      <c r="L71" s="19">
        <v>4</v>
      </c>
      <c r="M71" s="69">
        <f t="shared" si="6"/>
        <v>0.37</v>
      </c>
      <c r="N71" s="22">
        <f t="shared" si="10"/>
        <v>25</v>
      </c>
      <c r="O71" s="40">
        <f t="shared" si="11"/>
        <v>37</v>
      </c>
      <c r="P71" s="87" t="s">
        <v>170</v>
      </c>
    </row>
    <row r="72" spans="1:16382" x14ac:dyDescent="0.2">
      <c r="A72" s="19" t="s">
        <v>171</v>
      </c>
      <c r="B72" s="28">
        <v>45895</v>
      </c>
      <c r="C72" s="28"/>
      <c r="D72" s="73">
        <v>52</v>
      </c>
      <c r="E72" s="73">
        <v>4</v>
      </c>
      <c r="F72" s="19" t="s">
        <v>70</v>
      </c>
      <c r="G72" s="19" t="s">
        <v>166</v>
      </c>
      <c r="H72" s="19">
        <v>0</v>
      </c>
      <c r="I72" s="19">
        <v>1</v>
      </c>
      <c r="J72" s="19">
        <v>2.5</v>
      </c>
      <c r="K72" s="19">
        <v>2.5</v>
      </c>
      <c r="L72" s="19">
        <v>6</v>
      </c>
      <c r="M72" s="69">
        <f t="shared" si="6"/>
        <v>0.37</v>
      </c>
      <c r="N72" s="22">
        <f t="shared" si="10"/>
        <v>37.5</v>
      </c>
      <c r="O72" s="40">
        <f t="shared" si="11"/>
        <v>55.5</v>
      </c>
      <c r="P72" s="70" t="s">
        <v>170</v>
      </c>
    </row>
    <row r="73" spans="1:16382" x14ac:dyDescent="0.2">
      <c r="A73" s="19" t="s">
        <v>172</v>
      </c>
      <c r="B73" s="28">
        <v>45895</v>
      </c>
      <c r="C73" s="28"/>
      <c r="D73" s="73">
        <v>52</v>
      </c>
      <c r="E73" s="73">
        <v>4</v>
      </c>
      <c r="F73" s="19" t="s">
        <v>70</v>
      </c>
      <c r="G73" s="19"/>
      <c r="H73" s="19">
        <v>32</v>
      </c>
      <c r="I73" s="19">
        <v>4</v>
      </c>
      <c r="J73" s="19">
        <v>1.5</v>
      </c>
      <c r="K73" s="19">
        <v>8</v>
      </c>
      <c r="L73" s="19">
        <v>2</v>
      </c>
      <c r="M73" s="69">
        <f t="shared" si="6"/>
        <v>0.37</v>
      </c>
      <c r="N73" s="22">
        <f t="shared" si="10"/>
        <v>24</v>
      </c>
      <c r="O73" s="40">
        <f t="shared" si="11"/>
        <v>35.519999999999996</v>
      </c>
      <c r="P73" s="87" t="s">
        <v>173</v>
      </c>
      <c r="AL73" s="53"/>
      <c r="AM73" s="53"/>
      <c r="AN73" s="53"/>
      <c r="AO73" s="53"/>
      <c r="AP73" s="53"/>
      <c r="AQ73" s="53"/>
      <c r="AR73" s="53"/>
      <c r="AS73" s="54"/>
      <c r="AT73" s="53"/>
      <c r="AU73" s="53"/>
      <c r="AV73" s="55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4"/>
      <c r="BJ73" s="53"/>
      <c r="BK73" s="53"/>
      <c r="BL73" s="55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4"/>
      <c r="BZ73" s="53"/>
      <c r="CA73" s="53"/>
      <c r="CB73" s="55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4"/>
      <c r="CP73" s="53"/>
      <c r="CQ73" s="53"/>
      <c r="CR73" s="55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4"/>
      <c r="DF73" s="53"/>
      <c r="DG73" s="53"/>
      <c r="DH73" s="55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4"/>
      <c r="DV73" s="53"/>
      <c r="DW73" s="53"/>
      <c r="DX73" s="55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4"/>
      <c r="EL73" s="56"/>
      <c r="EM73" s="49"/>
      <c r="EN73" s="51"/>
      <c r="EO73" s="49"/>
      <c r="EP73" s="49"/>
      <c r="EQ73" s="49"/>
      <c r="ER73" s="49"/>
      <c r="ES73" s="49"/>
      <c r="ET73" s="49"/>
      <c r="EU73" s="49"/>
      <c r="EV73" s="49"/>
      <c r="EW73" s="49"/>
      <c r="EX73" s="49"/>
      <c r="EY73" s="49"/>
      <c r="EZ73" s="49"/>
      <c r="FA73" s="57"/>
      <c r="FB73" s="49"/>
      <c r="FC73" s="49"/>
      <c r="FD73" s="51"/>
      <c r="FE73" s="49"/>
      <c r="FF73" s="49"/>
      <c r="FG73" s="49"/>
      <c r="FH73" s="49"/>
      <c r="FI73" s="49"/>
      <c r="FJ73" s="49"/>
      <c r="FK73" s="49"/>
      <c r="FL73" s="49"/>
      <c r="FM73" s="49"/>
      <c r="FN73" s="49"/>
      <c r="FO73" s="49"/>
      <c r="FP73" s="49"/>
      <c r="FQ73" s="57"/>
      <c r="FR73" s="49"/>
      <c r="FS73" s="49"/>
      <c r="FT73" s="51"/>
      <c r="FU73" s="49"/>
      <c r="FV73" s="49"/>
      <c r="FW73" s="49"/>
      <c r="FX73" s="49"/>
      <c r="FY73" s="49"/>
      <c r="FZ73" s="49"/>
      <c r="GA73" s="49"/>
      <c r="GB73" s="49"/>
      <c r="GC73" s="49"/>
      <c r="GD73" s="49"/>
      <c r="GE73" s="49"/>
      <c r="GF73" s="49"/>
      <c r="GG73" s="57"/>
      <c r="GH73" s="49"/>
      <c r="GI73" s="49"/>
      <c r="GJ73" s="51"/>
      <c r="GK73" s="49"/>
      <c r="GL73" s="49"/>
      <c r="GM73" s="49"/>
      <c r="GN73" s="49"/>
      <c r="GO73" s="49"/>
      <c r="GP73" s="49"/>
      <c r="GQ73" s="49"/>
      <c r="GR73" s="49"/>
      <c r="GS73" s="49"/>
      <c r="GT73" s="49"/>
      <c r="GU73" s="49"/>
      <c r="GV73" s="49"/>
      <c r="GW73" s="57"/>
      <c r="GX73" s="49"/>
      <c r="GY73" s="49"/>
      <c r="GZ73" s="51"/>
      <c r="HA73" s="49"/>
      <c r="HB73" s="49"/>
      <c r="HC73" s="49"/>
      <c r="HD73" s="49"/>
      <c r="HE73" s="49"/>
      <c r="HF73" s="49"/>
      <c r="HG73" s="49"/>
      <c r="HH73" s="49"/>
      <c r="HI73" s="49"/>
      <c r="HJ73" s="49"/>
      <c r="HK73" s="49"/>
      <c r="HL73" s="49"/>
      <c r="HM73" s="57"/>
      <c r="HN73" s="49"/>
      <c r="HO73" s="49"/>
      <c r="HP73" s="51"/>
      <c r="HQ73" s="49"/>
      <c r="HR73" s="49"/>
      <c r="HS73" s="49"/>
      <c r="HT73" s="49"/>
      <c r="HU73" s="49"/>
      <c r="HV73" s="49"/>
      <c r="HW73" s="49"/>
      <c r="HX73" s="49"/>
      <c r="HY73" s="49"/>
      <c r="HZ73" s="49"/>
      <c r="IA73" s="49"/>
      <c r="IB73" s="49"/>
      <c r="IC73" s="57"/>
      <c r="ID73" s="49"/>
      <c r="IE73" s="49"/>
      <c r="IF73" s="51"/>
      <c r="IG73" s="49"/>
      <c r="IH73" s="49"/>
      <c r="II73" s="49"/>
      <c r="IJ73" s="49"/>
      <c r="IK73" s="49"/>
      <c r="IL73" s="49"/>
      <c r="IM73" s="49"/>
      <c r="IN73" s="49"/>
      <c r="IO73" s="49"/>
      <c r="IP73" s="49"/>
      <c r="IQ73" s="49"/>
      <c r="IR73" s="49"/>
      <c r="IS73" s="57"/>
      <c r="IT73" s="49"/>
      <c r="IU73" s="49"/>
      <c r="IV73" s="51"/>
      <c r="IW73" s="49"/>
      <c r="IX73" s="49"/>
      <c r="IY73" s="49"/>
      <c r="IZ73" s="49"/>
      <c r="JA73" s="49"/>
      <c r="JB73" s="49"/>
      <c r="JC73" s="49"/>
      <c r="JD73" s="49"/>
      <c r="JE73" s="49"/>
      <c r="JF73" s="49"/>
      <c r="JG73" s="49"/>
      <c r="JH73" s="49"/>
      <c r="JI73" s="57"/>
      <c r="JJ73" s="49"/>
      <c r="JK73" s="49"/>
      <c r="JL73" s="51"/>
      <c r="JM73" s="49"/>
      <c r="JN73" s="49"/>
      <c r="JO73" s="49"/>
      <c r="JP73" s="49"/>
      <c r="JQ73" s="49"/>
      <c r="JR73" s="49"/>
      <c r="JS73" s="49"/>
      <c r="JT73" s="49"/>
      <c r="JU73" s="49"/>
      <c r="JV73" s="49"/>
      <c r="JW73" s="49"/>
      <c r="JX73" s="49"/>
      <c r="JY73" s="57"/>
      <c r="JZ73" s="49"/>
      <c r="KA73" s="49"/>
      <c r="KB73" s="51"/>
      <c r="KC73" s="49"/>
      <c r="KD73" s="49"/>
      <c r="KE73" s="49"/>
      <c r="KF73" s="49"/>
      <c r="KG73" s="49"/>
      <c r="KH73" s="49"/>
      <c r="KI73" s="49"/>
      <c r="KJ73" s="49"/>
      <c r="KK73" s="49"/>
      <c r="KL73" s="49"/>
      <c r="KM73" s="49"/>
      <c r="KN73" s="49"/>
      <c r="KO73" s="57"/>
      <c r="KP73" s="49"/>
      <c r="KQ73" s="49"/>
      <c r="KR73" s="51"/>
      <c r="KS73" s="49"/>
      <c r="KT73" s="49"/>
      <c r="KU73" s="49"/>
      <c r="KV73" s="49"/>
      <c r="KW73" s="49"/>
      <c r="KX73" s="49"/>
      <c r="KY73" s="49"/>
      <c r="KZ73" s="49"/>
      <c r="LA73" s="49"/>
      <c r="LB73" s="49"/>
      <c r="LC73" s="49"/>
      <c r="LD73" s="49"/>
      <c r="LE73" s="57"/>
      <c r="LF73" s="49"/>
      <c r="LG73" s="49"/>
      <c r="LH73" s="51"/>
      <c r="LI73" s="49"/>
      <c r="LJ73" s="49"/>
      <c r="LK73" s="49"/>
      <c r="LL73" s="49"/>
      <c r="LM73" s="49"/>
      <c r="LN73" s="49"/>
      <c r="LO73" s="49"/>
      <c r="LP73" s="49"/>
      <c r="LQ73" s="49"/>
      <c r="LR73" s="49"/>
      <c r="LS73" s="49"/>
      <c r="LT73" s="49"/>
      <c r="LU73" s="57"/>
      <c r="LV73" s="49"/>
      <c r="LW73" s="49"/>
      <c r="LX73" s="51"/>
      <c r="LY73" s="49"/>
      <c r="LZ73" s="49"/>
      <c r="MA73" s="49"/>
      <c r="MB73" s="49"/>
      <c r="MC73" s="49"/>
      <c r="MD73" s="49"/>
      <c r="ME73" s="49"/>
      <c r="MF73" s="49"/>
      <c r="MG73" s="49"/>
      <c r="MH73" s="49"/>
      <c r="MI73" s="49"/>
      <c r="MJ73" s="49"/>
      <c r="MK73" s="57"/>
      <c r="ML73" s="49"/>
      <c r="MM73" s="49"/>
      <c r="MN73" s="51"/>
      <c r="MO73" s="49"/>
      <c r="MP73" s="49"/>
      <c r="MQ73" s="49"/>
      <c r="MR73" s="49"/>
      <c r="MS73" s="49"/>
      <c r="MT73" s="49"/>
      <c r="MU73" s="49"/>
      <c r="MV73" s="49"/>
      <c r="MW73" s="49"/>
      <c r="MX73" s="49"/>
      <c r="MY73" s="49"/>
      <c r="MZ73" s="49"/>
      <c r="NA73" s="57"/>
      <c r="NB73" s="49"/>
      <c r="NC73" s="49"/>
      <c r="ND73" s="51"/>
      <c r="NE73" s="49"/>
      <c r="NF73" s="49"/>
      <c r="NG73" s="49"/>
      <c r="NH73" s="49"/>
      <c r="NI73" s="49"/>
      <c r="NJ73" s="49"/>
      <c r="NK73" s="49"/>
      <c r="NL73" s="49"/>
      <c r="NM73" s="49"/>
      <c r="NN73" s="49"/>
      <c r="NO73" s="49"/>
      <c r="NP73" s="49"/>
      <c r="NQ73" s="57"/>
      <c r="NR73" s="49"/>
      <c r="NS73" s="49"/>
      <c r="NT73" s="51"/>
      <c r="NU73" s="49"/>
      <c r="NV73" s="49"/>
      <c r="NW73" s="49"/>
      <c r="NX73" s="49"/>
      <c r="NY73" s="49"/>
      <c r="NZ73" s="49"/>
      <c r="OA73" s="49"/>
      <c r="OB73" s="49"/>
      <c r="OC73" s="49"/>
      <c r="OD73" s="49"/>
      <c r="OE73" s="49"/>
      <c r="OF73" s="49"/>
      <c r="OG73" s="57"/>
      <c r="OH73" s="49"/>
      <c r="OI73" s="49"/>
      <c r="OJ73" s="51">
        <v>45117</v>
      </c>
      <c r="OK73" s="49"/>
      <c r="OL73" s="49" t="s">
        <v>43</v>
      </c>
      <c r="OM73" s="49" t="s">
        <v>45</v>
      </c>
      <c r="ON73" s="49" t="s">
        <v>42</v>
      </c>
      <c r="OO73" s="49" t="s">
        <v>0</v>
      </c>
      <c r="OP73" s="49">
        <v>0</v>
      </c>
      <c r="OQ73" s="49">
        <v>1</v>
      </c>
      <c r="OR73" s="58">
        <v>2.5</v>
      </c>
      <c r="OS73" s="58">
        <v>5</v>
      </c>
      <c r="OT73" s="58">
        <v>4</v>
      </c>
      <c r="OU73" s="49">
        <f>INDEX($T$2:$T$11,MATCH(OQ73,$R$2:$R$11,0))</f>
        <v>0.37</v>
      </c>
      <c r="OV73" s="49">
        <f t="shared" ref="OV73:QB73" si="12">OR73*OS73*OT73</f>
        <v>50</v>
      </c>
      <c r="OW73" s="57">
        <f t="shared" ref="OW73:QC73" si="13">OU73*OV73</f>
        <v>18.5</v>
      </c>
      <c r="OX73" s="59" t="s">
        <v>44</v>
      </c>
      <c r="OY73" s="49" t="s">
        <v>44</v>
      </c>
      <c r="OZ73" s="51">
        <v>45117</v>
      </c>
      <c r="PA73" s="49"/>
      <c r="PB73" s="49" t="s">
        <v>43</v>
      </c>
      <c r="PC73" s="49" t="s">
        <v>45</v>
      </c>
      <c r="PD73" s="49" t="s">
        <v>42</v>
      </c>
      <c r="PE73" s="49" t="s">
        <v>0</v>
      </c>
      <c r="PF73" s="49">
        <v>0</v>
      </c>
      <c r="PG73" s="49">
        <v>1</v>
      </c>
      <c r="PH73" s="58">
        <v>2.5</v>
      </c>
      <c r="PI73" s="58">
        <v>5</v>
      </c>
      <c r="PJ73" s="58">
        <v>4</v>
      </c>
      <c r="PK73" s="49">
        <f>INDEX($T$2:$T$11,MATCH(PG73,$R$2:$R$11,0))</f>
        <v>0.37</v>
      </c>
      <c r="PL73" s="49">
        <f t="shared" si="12"/>
        <v>50</v>
      </c>
      <c r="PM73" s="57">
        <f t="shared" si="13"/>
        <v>18.5</v>
      </c>
      <c r="PN73" s="59" t="s">
        <v>44</v>
      </c>
      <c r="PO73" s="49" t="s">
        <v>44</v>
      </c>
      <c r="PP73" s="51">
        <v>45117</v>
      </c>
      <c r="PQ73" s="49"/>
      <c r="PR73" s="49" t="s">
        <v>43</v>
      </c>
      <c r="PS73" s="49" t="s">
        <v>45</v>
      </c>
      <c r="PT73" s="49" t="s">
        <v>42</v>
      </c>
      <c r="PU73" s="49" t="s">
        <v>0</v>
      </c>
      <c r="PV73" s="49">
        <v>0</v>
      </c>
      <c r="PW73" s="49">
        <v>1</v>
      </c>
      <c r="PX73" s="58">
        <v>2.5</v>
      </c>
      <c r="PY73" s="58">
        <v>5</v>
      </c>
      <c r="PZ73" s="58">
        <v>4</v>
      </c>
      <c r="QA73" s="49">
        <f>INDEX($T$2:$T$11,MATCH(PW73,$R$2:$R$11,0))</f>
        <v>0.37</v>
      </c>
      <c r="QB73" s="49">
        <f t="shared" si="12"/>
        <v>50</v>
      </c>
      <c r="QC73" s="57">
        <f t="shared" si="13"/>
        <v>18.5</v>
      </c>
      <c r="QD73" s="59" t="s">
        <v>44</v>
      </c>
      <c r="QE73" s="49" t="s">
        <v>44</v>
      </c>
      <c r="QF73" s="51">
        <v>45117</v>
      </c>
      <c r="QG73" s="49"/>
      <c r="QH73" s="49" t="s">
        <v>43</v>
      </c>
      <c r="QI73" s="49" t="s">
        <v>45</v>
      </c>
      <c r="QJ73" s="49" t="s">
        <v>42</v>
      </c>
      <c r="QK73" s="49" t="s">
        <v>0</v>
      </c>
      <c r="QL73" s="49">
        <v>0</v>
      </c>
      <c r="QM73" s="49">
        <v>1</v>
      </c>
      <c r="QN73" s="58">
        <v>2.5</v>
      </c>
      <c r="QO73" s="58">
        <v>5</v>
      </c>
      <c r="QP73" s="58">
        <v>4</v>
      </c>
      <c r="QQ73" s="49">
        <f>INDEX($T$2:$T$11,MATCH(QM73,$R$2:$R$11,0))</f>
        <v>0.37</v>
      </c>
      <c r="QR73" s="49">
        <f t="shared" ref="QR73:SN73" si="14">QN73*QO73*QP73</f>
        <v>50</v>
      </c>
      <c r="QS73" s="57">
        <f t="shared" ref="QS73:SO73" si="15">QQ73*QR73</f>
        <v>18.5</v>
      </c>
      <c r="QT73" s="59" t="s">
        <v>44</v>
      </c>
      <c r="QU73" s="49" t="s">
        <v>44</v>
      </c>
      <c r="QV73" s="51">
        <v>45117</v>
      </c>
      <c r="QW73" s="49"/>
      <c r="QX73" s="49" t="s">
        <v>43</v>
      </c>
      <c r="QY73" s="49" t="s">
        <v>45</v>
      </c>
      <c r="QZ73" s="49" t="s">
        <v>42</v>
      </c>
      <c r="RA73" s="49" t="s">
        <v>0</v>
      </c>
      <c r="RB73" s="49">
        <v>0</v>
      </c>
      <c r="RC73" s="49">
        <v>1</v>
      </c>
      <c r="RD73" s="58">
        <v>2.5</v>
      </c>
      <c r="RE73" s="58">
        <v>5</v>
      </c>
      <c r="RF73" s="58">
        <v>4</v>
      </c>
      <c r="RG73" s="49">
        <f>INDEX($T$2:$T$11,MATCH(RC73,$R$2:$R$11,0))</f>
        <v>0.37</v>
      </c>
      <c r="RH73" s="49">
        <f t="shared" si="14"/>
        <v>50</v>
      </c>
      <c r="RI73" s="57">
        <f t="shared" si="15"/>
        <v>18.5</v>
      </c>
      <c r="RJ73" s="59" t="s">
        <v>44</v>
      </c>
      <c r="RK73" s="49" t="s">
        <v>44</v>
      </c>
      <c r="RL73" s="51">
        <v>45117</v>
      </c>
      <c r="RM73" s="49"/>
      <c r="RN73" s="49" t="s">
        <v>43</v>
      </c>
      <c r="RO73" s="49" t="s">
        <v>45</v>
      </c>
      <c r="RP73" s="49" t="s">
        <v>42</v>
      </c>
      <c r="RQ73" s="49" t="s">
        <v>0</v>
      </c>
      <c r="RR73" s="49">
        <v>0</v>
      </c>
      <c r="RS73" s="49">
        <v>1</v>
      </c>
      <c r="RT73" s="58">
        <v>2.5</v>
      </c>
      <c r="RU73" s="58">
        <v>5</v>
      </c>
      <c r="RV73" s="58">
        <v>4</v>
      </c>
      <c r="RW73" s="49">
        <f>INDEX($T$2:$T$11,MATCH(RS73,$R$2:$R$11,0))</f>
        <v>0.37</v>
      </c>
      <c r="RX73" s="49">
        <f t="shared" si="14"/>
        <v>50</v>
      </c>
      <c r="RY73" s="57">
        <f t="shared" si="15"/>
        <v>18.5</v>
      </c>
      <c r="RZ73" s="59" t="s">
        <v>44</v>
      </c>
      <c r="SA73" s="49" t="s">
        <v>44</v>
      </c>
      <c r="SB73" s="51">
        <v>45117</v>
      </c>
      <c r="SC73" s="49"/>
      <c r="SD73" s="49" t="s">
        <v>43</v>
      </c>
      <c r="SE73" s="49" t="s">
        <v>45</v>
      </c>
      <c r="SF73" s="49" t="s">
        <v>42</v>
      </c>
      <c r="SG73" s="49" t="s">
        <v>0</v>
      </c>
      <c r="SH73" s="49">
        <v>0</v>
      </c>
      <c r="SI73" s="49">
        <v>1</v>
      </c>
      <c r="SJ73" s="58">
        <v>2.5</v>
      </c>
      <c r="SK73" s="58">
        <v>5</v>
      </c>
      <c r="SL73" s="58">
        <v>4</v>
      </c>
      <c r="SM73" s="49">
        <f>INDEX($T$2:$T$11,MATCH(SI73,$R$2:$R$11,0))</f>
        <v>0.37</v>
      </c>
      <c r="SN73" s="49">
        <f t="shared" si="14"/>
        <v>50</v>
      </c>
      <c r="SO73" s="57">
        <f t="shared" si="15"/>
        <v>18.5</v>
      </c>
      <c r="SP73" s="59" t="s">
        <v>44</v>
      </c>
      <c r="SQ73" s="49" t="s">
        <v>44</v>
      </c>
      <c r="SR73" s="51">
        <v>45117</v>
      </c>
      <c r="SS73" s="49"/>
      <c r="ST73" s="49" t="s">
        <v>43</v>
      </c>
      <c r="SU73" s="49" t="s">
        <v>45</v>
      </c>
      <c r="SV73" s="49" t="s">
        <v>42</v>
      </c>
      <c r="SW73" s="49" t="s">
        <v>0</v>
      </c>
      <c r="SX73" s="49">
        <v>0</v>
      </c>
      <c r="SY73" s="49">
        <v>1</v>
      </c>
      <c r="SZ73" s="58">
        <v>2.5</v>
      </c>
      <c r="TA73" s="58">
        <v>5</v>
      </c>
      <c r="TB73" s="58">
        <v>4</v>
      </c>
      <c r="TC73" s="49">
        <f>INDEX($T$2:$T$11,MATCH(SY73,$R$2:$R$11,0))</f>
        <v>0.37</v>
      </c>
      <c r="TD73" s="49">
        <f t="shared" ref="TD73:UZ73" si="16">SZ73*TA73*TB73</f>
        <v>50</v>
      </c>
      <c r="TE73" s="57">
        <f t="shared" ref="TE73:VA73" si="17">TC73*TD73</f>
        <v>18.5</v>
      </c>
      <c r="TF73" s="59" t="s">
        <v>44</v>
      </c>
      <c r="TG73" s="49" t="s">
        <v>44</v>
      </c>
      <c r="TH73" s="51">
        <v>45117</v>
      </c>
      <c r="TI73" s="49"/>
      <c r="TJ73" s="49" t="s">
        <v>43</v>
      </c>
      <c r="TK73" s="49" t="s">
        <v>45</v>
      </c>
      <c r="TL73" s="49" t="s">
        <v>42</v>
      </c>
      <c r="TM73" s="49" t="s">
        <v>0</v>
      </c>
      <c r="TN73" s="49">
        <v>0</v>
      </c>
      <c r="TO73" s="49">
        <v>1</v>
      </c>
      <c r="TP73" s="58">
        <v>2.5</v>
      </c>
      <c r="TQ73" s="58">
        <v>5</v>
      </c>
      <c r="TR73" s="58">
        <v>4</v>
      </c>
      <c r="TS73" s="49">
        <f>INDEX($T$2:$T$11,MATCH(TO73,$R$2:$R$11,0))</f>
        <v>0.37</v>
      </c>
      <c r="TT73" s="49">
        <f t="shared" si="16"/>
        <v>50</v>
      </c>
      <c r="TU73" s="57">
        <f t="shared" si="17"/>
        <v>18.5</v>
      </c>
      <c r="TV73" s="59" t="s">
        <v>44</v>
      </c>
      <c r="TW73" s="49" t="s">
        <v>44</v>
      </c>
      <c r="TX73" s="51">
        <v>45117</v>
      </c>
      <c r="TY73" s="49"/>
      <c r="TZ73" s="49" t="s">
        <v>43</v>
      </c>
      <c r="UA73" s="49" t="s">
        <v>45</v>
      </c>
      <c r="UB73" s="49" t="s">
        <v>42</v>
      </c>
      <c r="UC73" s="49" t="s">
        <v>0</v>
      </c>
      <c r="UD73" s="49">
        <v>0</v>
      </c>
      <c r="UE73" s="49">
        <v>1</v>
      </c>
      <c r="UF73" s="58">
        <v>2.5</v>
      </c>
      <c r="UG73" s="58">
        <v>5</v>
      </c>
      <c r="UH73" s="58">
        <v>4</v>
      </c>
      <c r="UI73" s="49">
        <f>INDEX($T$2:$T$11,MATCH(UE73,$R$2:$R$11,0))</f>
        <v>0.37</v>
      </c>
      <c r="UJ73" s="49">
        <f t="shared" si="16"/>
        <v>50</v>
      </c>
      <c r="UK73" s="57">
        <f t="shared" si="17"/>
        <v>18.5</v>
      </c>
      <c r="UL73" s="59" t="s">
        <v>44</v>
      </c>
      <c r="UM73" s="49" t="s">
        <v>44</v>
      </c>
      <c r="UN73" s="51">
        <v>45117</v>
      </c>
      <c r="UO73" s="49"/>
      <c r="UP73" s="49" t="s">
        <v>43</v>
      </c>
      <c r="UQ73" s="49" t="s">
        <v>45</v>
      </c>
      <c r="UR73" s="49" t="s">
        <v>42</v>
      </c>
      <c r="US73" s="49" t="s">
        <v>0</v>
      </c>
      <c r="UT73" s="49">
        <v>0</v>
      </c>
      <c r="UU73" s="49">
        <v>1</v>
      </c>
      <c r="UV73" s="58">
        <v>2.5</v>
      </c>
      <c r="UW73" s="58">
        <v>5</v>
      </c>
      <c r="UX73" s="58">
        <v>4</v>
      </c>
      <c r="UY73" s="49">
        <f>INDEX($T$2:$T$11,MATCH(UU73,$R$2:$R$11,0))</f>
        <v>0.37</v>
      </c>
      <c r="UZ73" s="49">
        <f t="shared" si="16"/>
        <v>50</v>
      </c>
      <c r="VA73" s="57">
        <f t="shared" si="17"/>
        <v>18.5</v>
      </c>
      <c r="VB73" s="59" t="s">
        <v>44</v>
      </c>
      <c r="VC73" s="49" t="s">
        <v>44</v>
      </c>
      <c r="VD73" s="51">
        <v>45117</v>
      </c>
      <c r="VE73" s="49"/>
      <c r="VF73" s="49" t="s">
        <v>43</v>
      </c>
      <c r="VG73" s="49" t="s">
        <v>45</v>
      </c>
      <c r="VH73" s="49" t="s">
        <v>42</v>
      </c>
      <c r="VI73" s="49" t="s">
        <v>0</v>
      </c>
      <c r="VJ73" s="49">
        <v>0</v>
      </c>
      <c r="VK73" s="49">
        <v>1</v>
      </c>
      <c r="VL73" s="58">
        <v>2.5</v>
      </c>
      <c r="VM73" s="58">
        <v>5</v>
      </c>
      <c r="VN73" s="58">
        <v>4</v>
      </c>
      <c r="VO73" s="49">
        <f>INDEX($T$2:$T$11,MATCH(VK73,$R$2:$R$11,0))</f>
        <v>0.37</v>
      </c>
      <c r="VP73" s="49">
        <f t="shared" ref="VP73:XL73" si="18">VL73*VM73*VN73</f>
        <v>50</v>
      </c>
      <c r="VQ73" s="57">
        <f t="shared" ref="VQ73:XM73" si="19">VO73*VP73</f>
        <v>18.5</v>
      </c>
      <c r="VR73" s="59" t="s">
        <v>44</v>
      </c>
      <c r="VS73" s="49" t="s">
        <v>44</v>
      </c>
      <c r="VT73" s="51">
        <v>45117</v>
      </c>
      <c r="VU73" s="49"/>
      <c r="VV73" s="49" t="s">
        <v>43</v>
      </c>
      <c r="VW73" s="49" t="s">
        <v>45</v>
      </c>
      <c r="VX73" s="49" t="s">
        <v>42</v>
      </c>
      <c r="VY73" s="49" t="s">
        <v>0</v>
      </c>
      <c r="VZ73" s="49">
        <v>0</v>
      </c>
      <c r="WA73" s="49">
        <v>1</v>
      </c>
      <c r="WB73" s="58">
        <v>2.5</v>
      </c>
      <c r="WC73" s="58">
        <v>5</v>
      </c>
      <c r="WD73" s="58">
        <v>4</v>
      </c>
      <c r="WE73" s="49">
        <f>INDEX($T$2:$T$11,MATCH(WA73,$R$2:$R$11,0))</f>
        <v>0.37</v>
      </c>
      <c r="WF73" s="49">
        <f t="shared" si="18"/>
        <v>50</v>
      </c>
      <c r="WG73" s="57">
        <f t="shared" si="19"/>
        <v>18.5</v>
      </c>
      <c r="WH73" s="59" t="s">
        <v>44</v>
      </c>
      <c r="WI73" s="49" t="s">
        <v>44</v>
      </c>
      <c r="WJ73" s="51">
        <v>45117</v>
      </c>
      <c r="WK73" s="49"/>
      <c r="WL73" s="49" t="s">
        <v>43</v>
      </c>
      <c r="WM73" s="49" t="s">
        <v>45</v>
      </c>
      <c r="WN73" s="49" t="s">
        <v>42</v>
      </c>
      <c r="WO73" s="49" t="s">
        <v>0</v>
      </c>
      <c r="WP73" s="49">
        <v>0</v>
      </c>
      <c r="WQ73" s="49">
        <v>1</v>
      </c>
      <c r="WR73" s="58">
        <v>2.5</v>
      </c>
      <c r="WS73" s="58">
        <v>5</v>
      </c>
      <c r="WT73" s="58">
        <v>4</v>
      </c>
      <c r="WU73" s="49">
        <f>INDEX($T$2:$T$11,MATCH(WQ73,$R$2:$R$11,0))</f>
        <v>0.37</v>
      </c>
      <c r="WV73" s="49">
        <f t="shared" si="18"/>
        <v>50</v>
      </c>
      <c r="WW73" s="57">
        <f t="shared" si="19"/>
        <v>18.5</v>
      </c>
      <c r="WX73" s="59" t="s">
        <v>44</v>
      </c>
      <c r="WY73" s="49" t="s">
        <v>44</v>
      </c>
      <c r="WZ73" s="51">
        <v>45117</v>
      </c>
      <c r="XA73" s="49"/>
      <c r="XB73" s="49" t="s">
        <v>43</v>
      </c>
      <c r="XC73" s="49" t="s">
        <v>45</v>
      </c>
      <c r="XD73" s="49" t="s">
        <v>42</v>
      </c>
      <c r="XE73" s="49" t="s">
        <v>0</v>
      </c>
      <c r="XF73" s="49">
        <v>0</v>
      </c>
      <c r="XG73" s="49">
        <v>1</v>
      </c>
      <c r="XH73" s="58">
        <v>2.5</v>
      </c>
      <c r="XI73" s="58">
        <v>5</v>
      </c>
      <c r="XJ73" s="58">
        <v>4</v>
      </c>
      <c r="XK73" s="49">
        <f>INDEX($T$2:$T$11,MATCH(XG73,$R$2:$R$11,0))</f>
        <v>0.37</v>
      </c>
      <c r="XL73" s="49">
        <f t="shared" si="18"/>
        <v>50</v>
      </c>
      <c r="XM73" s="57">
        <f t="shared" si="19"/>
        <v>18.5</v>
      </c>
      <c r="XN73" s="59" t="s">
        <v>44</v>
      </c>
      <c r="XO73" s="49" t="s">
        <v>44</v>
      </c>
      <c r="XP73" s="51">
        <v>45117</v>
      </c>
      <c r="XQ73" s="49"/>
      <c r="XR73" s="49" t="s">
        <v>43</v>
      </c>
      <c r="XS73" s="49" t="s">
        <v>45</v>
      </c>
      <c r="XT73" s="49" t="s">
        <v>42</v>
      </c>
      <c r="XU73" s="49" t="s">
        <v>0</v>
      </c>
      <c r="XV73" s="49">
        <v>0</v>
      </c>
      <c r="XW73" s="49">
        <v>1</v>
      </c>
      <c r="XX73" s="58">
        <v>2.5</v>
      </c>
      <c r="XY73" s="58">
        <v>5</v>
      </c>
      <c r="XZ73" s="58">
        <v>4</v>
      </c>
      <c r="YA73" s="49">
        <f>INDEX($T$2:$T$11,MATCH(XW73,$R$2:$R$11,0))</f>
        <v>0.37</v>
      </c>
      <c r="YB73" s="49">
        <f t="shared" ref="YB73:ZX73" si="20">XX73*XY73*XZ73</f>
        <v>50</v>
      </c>
      <c r="YC73" s="57">
        <f t="shared" ref="YC73:ZY73" si="21">YA73*YB73</f>
        <v>18.5</v>
      </c>
      <c r="YD73" s="59" t="s">
        <v>44</v>
      </c>
      <c r="YE73" s="49" t="s">
        <v>44</v>
      </c>
      <c r="YF73" s="51">
        <v>45117</v>
      </c>
      <c r="YG73" s="49"/>
      <c r="YH73" s="49" t="s">
        <v>43</v>
      </c>
      <c r="YI73" s="49" t="s">
        <v>45</v>
      </c>
      <c r="YJ73" s="49" t="s">
        <v>42</v>
      </c>
      <c r="YK73" s="49" t="s">
        <v>0</v>
      </c>
      <c r="YL73" s="49">
        <v>0</v>
      </c>
      <c r="YM73" s="49">
        <v>1</v>
      </c>
      <c r="YN73" s="58">
        <v>2.5</v>
      </c>
      <c r="YO73" s="58">
        <v>5</v>
      </c>
      <c r="YP73" s="58">
        <v>4</v>
      </c>
      <c r="YQ73" s="49">
        <f>INDEX($T$2:$T$11,MATCH(YM73,$R$2:$R$11,0))</f>
        <v>0.37</v>
      </c>
      <c r="YR73" s="49">
        <f t="shared" si="20"/>
        <v>50</v>
      </c>
      <c r="YS73" s="57">
        <f t="shared" si="21"/>
        <v>18.5</v>
      </c>
      <c r="YT73" s="59" t="s">
        <v>44</v>
      </c>
      <c r="YU73" s="49" t="s">
        <v>44</v>
      </c>
      <c r="YV73" s="51">
        <v>45117</v>
      </c>
      <c r="YW73" s="49"/>
      <c r="YX73" s="49" t="s">
        <v>43</v>
      </c>
      <c r="YY73" s="49" t="s">
        <v>45</v>
      </c>
      <c r="YZ73" s="49" t="s">
        <v>42</v>
      </c>
      <c r="ZA73" s="49" t="s">
        <v>0</v>
      </c>
      <c r="ZB73" s="49">
        <v>0</v>
      </c>
      <c r="ZC73" s="49">
        <v>1</v>
      </c>
      <c r="ZD73" s="58">
        <v>2.5</v>
      </c>
      <c r="ZE73" s="58">
        <v>5</v>
      </c>
      <c r="ZF73" s="58">
        <v>4</v>
      </c>
      <c r="ZG73" s="49">
        <f>INDEX($T$2:$T$11,MATCH(ZC73,$R$2:$R$11,0))</f>
        <v>0.37</v>
      </c>
      <c r="ZH73" s="49">
        <f t="shared" si="20"/>
        <v>50</v>
      </c>
      <c r="ZI73" s="57">
        <f t="shared" si="21"/>
        <v>18.5</v>
      </c>
      <c r="ZJ73" s="59" t="s">
        <v>44</v>
      </c>
      <c r="ZK73" s="49" t="s">
        <v>44</v>
      </c>
      <c r="ZL73" s="51">
        <v>45117</v>
      </c>
      <c r="ZM73" s="49"/>
      <c r="ZN73" s="49" t="s">
        <v>43</v>
      </c>
      <c r="ZO73" s="49" t="s">
        <v>45</v>
      </c>
      <c r="ZP73" s="49" t="s">
        <v>42</v>
      </c>
      <c r="ZQ73" s="49" t="s">
        <v>0</v>
      </c>
      <c r="ZR73" s="49">
        <v>0</v>
      </c>
      <c r="ZS73" s="49">
        <v>1</v>
      </c>
      <c r="ZT73" s="58">
        <v>2.5</v>
      </c>
      <c r="ZU73" s="58">
        <v>5</v>
      </c>
      <c r="ZV73" s="58">
        <v>4</v>
      </c>
      <c r="ZW73" s="49">
        <f>INDEX($T$2:$T$11,MATCH(ZS73,$R$2:$R$11,0))</f>
        <v>0.37</v>
      </c>
      <c r="ZX73" s="49">
        <f t="shared" si="20"/>
        <v>50</v>
      </c>
      <c r="ZY73" s="57">
        <f t="shared" si="21"/>
        <v>18.5</v>
      </c>
      <c r="ZZ73" s="59" t="s">
        <v>44</v>
      </c>
      <c r="AAA73" s="49" t="s">
        <v>44</v>
      </c>
      <c r="AAB73" s="51">
        <v>45117</v>
      </c>
      <c r="AAC73" s="49"/>
      <c r="AAD73" s="49" t="s">
        <v>43</v>
      </c>
      <c r="AAE73" s="49" t="s">
        <v>45</v>
      </c>
      <c r="AAF73" s="49" t="s">
        <v>42</v>
      </c>
      <c r="AAG73" s="49" t="s">
        <v>0</v>
      </c>
      <c r="AAH73" s="49">
        <v>0</v>
      </c>
      <c r="AAI73" s="49">
        <v>1</v>
      </c>
      <c r="AAJ73" s="58">
        <v>2.5</v>
      </c>
      <c r="AAK73" s="58">
        <v>5</v>
      </c>
      <c r="AAL73" s="58">
        <v>4</v>
      </c>
      <c r="AAM73" s="49">
        <f>INDEX($T$2:$T$11,MATCH(AAI73,$R$2:$R$11,0))</f>
        <v>0.37</v>
      </c>
      <c r="AAN73" s="49">
        <f t="shared" ref="AAN73:ACJ73" si="22">AAJ73*AAK73*AAL73</f>
        <v>50</v>
      </c>
      <c r="AAO73" s="57">
        <f t="shared" ref="AAO73:ACK73" si="23">AAM73*AAN73</f>
        <v>18.5</v>
      </c>
      <c r="AAP73" s="59" t="s">
        <v>44</v>
      </c>
      <c r="AAQ73" s="49" t="s">
        <v>44</v>
      </c>
      <c r="AAR73" s="51">
        <v>45117</v>
      </c>
      <c r="AAS73" s="49"/>
      <c r="AAT73" s="49" t="s">
        <v>43</v>
      </c>
      <c r="AAU73" s="49" t="s">
        <v>45</v>
      </c>
      <c r="AAV73" s="49" t="s">
        <v>42</v>
      </c>
      <c r="AAW73" s="49" t="s">
        <v>0</v>
      </c>
      <c r="AAX73" s="49">
        <v>0</v>
      </c>
      <c r="AAY73" s="49">
        <v>1</v>
      </c>
      <c r="AAZ73" s="58">
        <v>2.5</v>
      </c>
      <c r="ABA73" s="58">
        <v>5</v>
      </c>
      <c r="ABB73" s="58">
        <v>4</v>
      </c>
      <c r="ABC73" s="49">
        <f>INDEX($T$2:$T$11,MATCH(AAY73,$R$2:$R$11,0))</f>
        <v>0.37</v>
      </c>
      <c r="ABD73" s="49">
        <f t="shared" si="22"/>
        <v>50</v>
      </c>
      <c r="ABE73" s="57">
        <f t="shared" si="23"/>
        <v>18.5</v>
      </c>
      <c r="ABF73" s="59" t="s">
        <v>44</v>
      </c>
      <c r="ABG73" s="49" t="s">
        <v>44</v>
      </c>
      <c r="ABH73" s="51">
        <v>45117</v>
      </c>
      <c r="ABI73" s="49"/>
      <c r="ABJ73" s="49" t="s">
        <v>43</v>
      </c>
      <c r="ABK73" s="49" t="s">
        <v>45</v>
      </c>
      <c r="ABL73" s="49" t="s">
        <v>42</v>
      </c>
      <c r="ABM73" s="49" t="s">
        <v>0</v>
      </c>
      <c r="ABN73" s="49">
        <v>0</v>
      </c>
      <c r="ABO73" s="49">
        <v>1</v>
      </c>
      <c r="ABP73" s="58">
        <v>2.5</v>
      </c>
      <c r="ABQ73" s="58">
        <v>5</v>
      </c>
      <c r="ABR73" s="58">
        <v>4</v>
      </c>
      <c r="ABS73" s="49">
        <f>INDEX($T$2:$T$11,MATCH(ABO73,$R$2:$R$11,0))</f>
        <v>0.37</v>
      </c>
      <c r="ABT73" s="49">
        <f t="shared" si="22"/>
        <v>50</v>
      </c>
      <c r="ABU73" s="57">
        <f t="shared" si="23"/>
        <v>18.5</v>
      </c>
      <c r="ABV73" s="59" t="s">
        <v>44</v>
      </c>
      <c r="ABW73" s="49" t="s">
        <v>44</v>
      </c>
      <c r="ABX73" s="51">
        <v>45117</v>
      </c>
      <c r="ABY73" s="49"/>
      <c r="ABZ73" s="49" t="s">
        <v>43</v>
      </c>
      <c r="ACA73" s="49" t="s">
        <v>45</v>
      </c>
      <c r="ACB73" s="49" t="s">
        <v>42</v>
      </c>
      <c r="ACC73" s="49" t="s">
        <v>0</v>
      </c>
      <c r="ACD73" s="49">
        <v>0</v>
      </c>
      <c r="ACE73" s="49">
        <v>1</v>
      </c>
      <c r="ACF73" s="58">
        <v>2.5</v>
      </c>
      <c r="ACG73" s="58">
        <v>5</v>
      </c>
      <c r="ACH73" s="58">
        <v>4</v>
      </c>
      <c r="ACI73" s="49">
        <f>INDEX($T$2:$T$11,MATCH(ACE73,$R$2:$R$11,0))</f>
        <v>0.37</v>
      </c>
      <c r="ACJ73" s="49">
        <f t="shared" si="22"/>
        <v>50</v>
      </c>
      <c r="ACK73" s="57">
        <f t="shared" si="23"/>
        <v>18.5</v>
      </c>
      <c r="ACL73" s="59" t="s">
        <v>44</v>
      </c>
      <c r="ACM73" s="49" t="s">
        <v>44</v>
      </c>
      <c r="ACN73" s="51">
        <v>45117</v>
      </c>
      <c r="ACO73" s="49"/>
      <c r="ACP73" s="49" t="s">
        <v>43</v>
      </c>
      <c r="ACQ73" s="49" t="s">
        <v>45</v>
      </c>
      <c r="ACR73" s="49" t="s">
        <v>42</v>
      </c>
      <c r="ACS73" s="49" t="s">
        <v>0</v>
      </c>
      <c r="ACT73" s="49">
        <v>0</v>
      </c>
      <c r="ACU73" s="49">
        <v>1</v>
      </c>
      <c r="ACV73" s="58">
        <v>2.5</v>
      </c>
      <c r="ACW73" s="58">
        <v>5</v>
      </c>
      <c r="ACX73" s="58">
        <v>4</v>
      </c>
      <c r="ACY73" s="49">
        <f>INDEX($T$2:$T$11,MATCH(ACU73,$R$2:$R$11,0))</f>
        <v>0.37</v>
      </c>
      <c r="ACZ73" s="49">
        <f t="shared" ref="ACZ73:AEV73" si="24">ACV73*ACW73*ACX73</f>
        <v>50</v>
      </c>
      <c r="ADA73" s="57">
        <f t="shared" ref="ADA73:AEW73" si="25">ACY73*ACZ73</f>
        <v>18.5</v>
      </c>
      <c r="ADB73" s="59" t="s">
        <v>44</v>
      </c>
      <c r="ADC73" s="49" t="s">
        <v>44</v>
      </c>
      <c r="ADD73" s="51">
        <v>45117</v>
      </c>
      <c r="ADE73" s="49"/>
      <c r="ADF73" s="49" t="s">
        <v>43</v>
      </c>
      <c r="ADG73" s="49" t="s">
        <v>45</v>
      </c>
      <c r="ADH73" s="49" t="s">
        <v>42</v>
      </c>
      <c r="ADI73" s="49" t="s">
        <v>0</v>
      </c>
      <c r="ADJ73" s="49">
        <v>0</v>
      </c>
      <c r="ADK73" s="49">
        <v>1</v>
      </c>
      <c r="ADL73" s="58">
        <v>2.5</v>
      </c>
      <c r="ADM73" s="58">
        <v>5</v>
      </c>
      <c r="ADN73" s="58">
        <v>4</v>
      </c>
      <c r="ADO73" s="49">
        <f>INDEX($T$2:$T$11,MATCH(ADK73,$R$2:$R$11,0))</f>
        <v>0.37</v>
      </c>
      <c r="ADP73" s="49">
        <f t="shared" si="24"/>
        <v>50</v>
      </c>
      <c r="ADQ73" s="57">
        <f t="shared" si="25"/>
        <v>18.5</v>
      </c>
      <c r="ADR73" s="59" t="s">
        <v>44</v>
      </c>
      <c r="ADS73" s="49" t="s">
        <v>44</v>
      </c>
      <c r="ADT73" s="51">
        <v>45117</v>
      </c>
      <c r="ADU73" s="49"/>
      <c r="ADV73" s="49" t="s">
        <v>43</v>
      </c>
      <c r="ADW73" s="49" t="s">
        <v>45</v>
      </c>
      <c r="ADX73" s="49" t="s">
        <v>42</v>
      </c>
      <c r="ADY73" s="49" t="s">
        <v>0</v>
      </c>
      <c r="ADZ73" s="49">
        <v>0</v>
      </c>
      <c r="AEA73" s="49">
        <v>1</v>
      </c>
      <c r="AEB73" s="58">
        <v>2.5</v>
      </c>
      <c r="AEC73" s="58">
        <v>5</v>
      </c>
      <c r="AED73" s="58">
        <v>4</v>
      </c>
      <c r="AEE73" s="49">
        <f>INDEX($T$2:$T$11,MATCH(AEA73,$R$2:$R$11,0))</f>
        <v>0.37</v>
      </c>
      <c r="AEF73" s="49">
        <f t="shared" si="24"/>
        <v>50</v>
      </c>
      <c r="AEG73" s="57">
        <f t="shared" si="25"/>
        <v>18.5</v>
      </c>
      <c r="AEH73" s="59" t="s">
        <v>44</v>
      </c>
      <c r="AEI73" s="49" t="s">
        <v>44</v>
      </c>
      <c r="AEJ73" s="51">
        <v>45117</v>
      </c>
      <c r="AEK73" s="49"/>
      <c r="AEL73" s="49" t="s">
        <v>43</v>
      </c>
      <c r="AEM73" s="49" t="s">
        <v>45</v>
      </c>
      <c r="AEN73" s="49" t="s">
        <v>42</v>
      </c>
      <c r="AEO73" s="49" t="s">
        <v>0</v>
      </c>
      <c r="AEP73" s="49">
        <v>0</v>
      </c>
      <c r="AEQ73" s="49">
        <v>1</v>
      </c>
      <c r="AER73" s="58">
        <v>2.5</v>
      </c>
      <c r="AES73" s="58">
        <v>5</v>
      </c>
      <c r="AET73" s="58">
        <v>4</v>
      </c>
      <c r="AEU73" s="49">
        <f>INDEX($T$2:$T$11,MATCH(AEQ73,$R$2:$R$11,0))</f>
        <v>0.37</v>
      </c>
      <c r="AEV73" s="49">
        <f t="shared" si="24"/>
        <v>50</v>
      </c>
      <c r="AEW73" s="57">
        <f t="shared" si="25"/>
        <v>18.5</v>
      </c>
      <c r="AEX73" s="59" t="s">
        <v>44</v>
      </c>
      <c r="AEY73" s="49" t="s">
        <v>44</v>
      </c>
      <c r="AEZ73" s="51">
        <v>45117</v>
      </c>
      <c r="AFA73" s="49"/>
      <c r="AFB73" s="49" t="s">
        <v>43</v>
      </c>
      <c r="AFC73" s="49" t="s">
        <v>45</v>
      </c>
      <c r="AFD73" s="49" t="s">
        <v>42</v>
      </c>
      <c r="AFE73" s="49" t="s">
        <v>0</v>
      </c>
      <c r="AFF73" s="49">
        <v>0</v>
      </c>
      <c r="AFG73" s="49">
        <v>1</v>
      </c>
      <c r="AFH73" s="58">
        <v>2.5</v>
      </c>
      <c r="AFI73" s="58">
        <v>5</v>
      </c>
      <c r="AFJ73" s="58">
        <v>4</v>
      </c>
      <c r="AFK73" s="49">
        <f>INDEX($T$2:$T$11,MATCH(AFG73,$R$2:$R$11,0))</f>
        <v>0.37</v>
      </c>
      <c r="AFL73" s="49">
        <f t="shared" ref="AFL73:AHH73" si="26">AFH73*AFI73*AFJ73</f>
        <v>50</v>
      </c>
      <c r="AFM73" s="57">
        <f t="shared" ref="AFM73:AHI73" si="27">AFK73*AFL73</f>
        <v>18.5</v>
      </c>
      <c r="AFN73" s="59" t="s">
        <v>44</v>
      </c>
      <c r="AFO73" s="49" t="s">
        <v>44</v>
      </c>
      <c r="AFP73" s="51">
        <v>45117</v>
      </c>
      <c r="AFQ73" s="49"/>
      <c r="AFR73" s="49" t="s">
        <v>43</v>
      </c>
      <c r="AFS73" s="49" t="s">
        <v>45</v>
      </c>
      <c r="AFT73" s="49" t="s">
        <v>42</v>
      </c>
      <c r="AFU73" s="49" t="s">
        <v>0</v>
      </c>
      <c r="AFV73" s="49">
        <v>0</v>
      </c>
      <c r="AFW73" s="49">
        <v>1</v>
      </c>
      <c r="AFX73" s="58">
        <v>2.5</v>
      </c>
      <c r="AFY73" s="58">
        <v>5</v>
      </c>
      <c r="AFZ73" s="58">
        <v>4</v>
      </c>
      <c r="AGA73" s="49">
        <f>INDEX($T$2:$T$11,MATCH(AFW73,$R$2:$R$11,0))</f>
        <v>0.37</v>
      </c>
      <c r="AGB73" s="49">
        <f t="shared" si="26"/>
        <v>50</v>
      </c>
      <c r="AGC73" s="57">
        <f t="shared" si="27"/>
        <v>18.5</v>
      </c>
      <c r="AGD73" s="59" t="s">
        <v>44</v>
      </c>
      <c r="AGE73" s="49" t="s">
        <v>44</v>
      </c>
      <c r="AGF73" s="51">
        <v>45117</v>
      </c>
      <c r="AGG73" s="49"/>
      <c r="AGH73" s="49" t="s">
        <v>43</v>
      </c>
      <c r="AGI73" s="49" t="s">
        <v>45</v>
      </c>
      <c r="AGJ73" s="49" t="s">
        <v>42</v>
      </c>
      <c r="AGK73" s="49" t="s">
        <v>0</v>
      </c>
      <c r="AGL73" s="49">
        <v>0</v>
      </c>
      <c r="AGM73" s="49">
        <v>1</v>
      </c>
      <c r="AGN73" s="58">
        <v>2.5</v>
      </c>
      <c r="AGO73" s="58">
        <v>5</v>
      </c>
      <c r="AGP73" s="58">
        <v>4</v>
      </c>
      <c r="AGQ73" s="49">
        <f>INDEX($T$2:$T$11,MATCH(AGM73,$R$2:$R$11,0))</f>
        <v>0.37</v>
      </c>
      <c r="AGR73" s="49">
        <f t="shared" si="26"/>
        <v>50</v>
      </c>
      <c r="AGS73" s="57">
        <f t="shared" si="27"/>
        <v>18.5</v>
      </c>
      <c r="AGT73" s="59" t="s">
        <v>44</v>
      </c>
      <c r="AGU73" s="49" t="s">
        <v>44</v>
      </c>
      <c r="AGV73" s="51">
        <v>45117</v>
      </c>
      <c r="AGW73" s="49"/>
      <c r="AGX73" s="49" t="s">
        <v>43</v>
      </c>
      <c r="AGY73" s="49" t="s">
        <v>45</v>
      </c>
      <c r="AGZ73" s="49" t="s">
        <v>42</v>
      </c>
      <c r="AHA73" s="49" t="s">
        <v>0</v>
      </c>
      <c r="AHB73" s="49">
        <v>0</v>
      </c>
      <c r="AHC73" s="49">
        <v>1</v>
      </c>
      <c r="AHD73" s="58">
        <v>2.5</v>
      </c>
      <c r="AHE73" s="58">
        <v>5</v>
      </c>
      <c r="AHF73" s="58">
        <v>4</v>
      </c>
      <c r="AHG73" s="49">
        <f>INDEX($T$2:$T$11,MATCH(AHC73,$R$2:$R$11,0))</f>
        <v>0.37</v>
      </c>
      <c r="AHH73" s="49">
        <f t="shared" si="26"/>
        <v>50</v>
      </c>
      <c r="AHI73" s="57">
        <f t="shared" si="27"/>
        <v>18.5</v>
      </c>
      <c r="AHJ73" s="59" t="s">
        <v>44</v>
      </c>
      <c r="AHK73" s="49" t="s">
        <v>44</v>
      </c>
      <c r="AHL73" s="51">
        <v>45117</v>
      </c>
      <c r="AHM73" s="49"/>
      <c r="AHN73" s="49" t="s">
        <v>43</v>
      </c>
      <c r="AHO73" s="49" t="s">
        <v>45</v>
      </c>
      <c r="AHP73" s="49" t="s">
        <v>42</v>
      </c>
      <c r="AHQ73" s="49" t="s">
        <v>0</v>
      </c>
      <c r="AHR73" s="49">
        <v>0</v>
      </c>
      <c r="AHS73" s="49">
        <v>1</v>
      </c>
      <c r="AHT73" s="58">
        <v>2.5</v>
      </c>
      <c r="AHU73" s="58">
        <v>5</v>
      </c>
      <c r="AHV73" s="58">
        <v>4</v>
      </c>
      <c r="AHW73" s="49">
        <f>INDEX($T$2:$T$11,MATCH(AHS73,$R$2:$R$11,0))</f>
        <v>0.37</v>
      </c>
      <c r="AHX73" s="49">
        <f t="shared" ref="AHX73:AJT73" si="28">AHT73*AHU73*AHV73</f>
        <v>50</v>
      </c>
      <c r="AHY73" s="57">
        <f t="shared" ref="AHY73:AJU73" si="29">AHW73*AHX73</f>
        <v>18.5</v>
      </c>
      <c r="AHZ73" s="59" t="s">
        <v>44</v>
      </c>
      <c r="AIA73" s="49" t="s">
        <v>44</v>
      </c>
      <c r="AIB73" s="51">
        <v>45117</v>
      </c>
      <c r="AIC73" s="49"/>
      <c r="AID73" s="49" t="s">
        <v>43</v>
      </c>
      <c r="AIE73" s="49" t="s">
        <v>45</v>
      </c>
      <c r="AIF73" s="49" t="s">
        <v>42</v>
      </c>
      <c r="AIG73" s="49" t="s">
        <v>0</v>
      </c>
      <c r="AIH73" s="49">
        <v>0</v>
      </c>
      <c r="AII73" s="49">
        <v>1</v>
      </c>
      <c r="AIJ73" s="58">
        <v>2.5</v>
      </c>
      <c r="AIK73" s="58">
        <v>5</v>
      </c>
      <c r="AIL73" s="58">
        <v>4</v>
      </c>
      <c r="AIM73" s="49">
        <f>INDEX($T$2:$T$11,MATCH(AII73,$R$2:$R$11,0))</f>
        <v>0.37</v>
      </c>
      <c r="AIN73" s="49">
        <f t="shared" si="28"/>
        <v>50</v>
      </c>
      <c r="AIO73" s="57">
        <f t="shared" si="29"/>
        <v>18.5</v>
      </c>
      <c r="AIP73" s="59" t="s">
        <v>44</v>
      </c>
      <c r="AIQ73" s="49" t="s">
        <v>44</v>
      </c>
      <c r="AIR73" s="51">
        <v>45117</v>
      </c>
      <c r="AIS73" s="49"/>
      <c r="AIT73" s="49" t="s">
        <v>43</v>
      </c>
      <c r="AIU73" s="49" t="s">
        <v>45</v>
      </c>
      <c r="AIV73" s="49" t="s">
        <v>42</v>
      </c>
      <c r="AIW73" s="49" t="s">
        <v>0</v>
      </c>
      <c r="AIX73" s="49">
        <v>0</v>
      </c>
      <c r="AIY73" s="49">
        <v>1</v>
      </c>
      <c r="AIZ73" s="58">
        <v>2.5</v>
      </c>
      <c r="AJA73" s="58">
        <v>5</v>
      </c>
      <c r="AJB73" s="58">
        <v>4</v>
      </c>
      <c r="AJC73" s="49">
        <f>INDEX($T$2:$T$11,MATCH(AIY73,$R$2:$R$11,0))</f>
        <v>0.37</v>
      </c>
      <c r="AJD73" s="49">
        <f t="shared" si="28"/>
        <v>50</v>
      </c>
      <c r="AJE73" s="57">
        <f t="shared" si="29"/>
        <v>18.5</v>
      </c>
      <c r="AJF73" s="59" t="s">
        <v>44</v>
      </c>
      <c r="AJG73" s="49" t="s">
        <v>44</v>
      </c>
      <c r="AJH73" s="51">
        <v>45117</v>
      </c>
      <c r="AJI73" s="49"/>
      <c r="AJJ73" s="49" t="s">
        <v>43</v>
      </c>
      <c r="AJK73" s="49" t="s">
        <v>45</v>
      </c>
      <c r="AJL73" s="49" t="s">
        <v>42</v>
      </c>
      <c r="AJM73" s="49" t="s">
        <v>0</v>
      </c>
      <c r="AJN73" s="49">
        <v>0</v>
      </c>
      <c r="AJO73" s="49">
        <v>1</v>
      </c>
      <c r="AJP73" s="58">
        <v>2.5</v>
      </c>
      <c r="AJQ73" s="58">
        <v>5</v>
      </c>
      <c r="AJR73" s="58">
        <v>4</v>
      </c>
      <c r="AJS73" s="49">
        <f>INDEX($T$2:$T$11,MATCH(AJO73,$R$2:$R$11,0))</f>
        <v>0.37</v>
      </c>
      <c r="AJT73" s="49">
        <f t="shared" si="28"/>
        <v>50</v>
      </c>
      <c r="AJU73" s="57">
        <f t="shared" si="29"/>
        <v>18.5</v>
      </c>
      <c r="AJV73" s="59" t="s">
        <v>44</v>
      </c>
      <c r="AJW73" s="49" t="s">
        <v>44</v>
      </c>
      <c r="AJX73" s="51">
        <v>45117</v>
      </c>
      <c r="AJY73" s="49"/>
      <c r="AJZ73" s="49" t="s">
        <v>43</v>
      </c>
      <c r="AKA73" s="49" t="s">
        <v>45</v>
      </c>
      <c r="AKB73" s="49" t="s">
        <v>42</v>
      </c>
      <c r="AKC73" s="49" t="s">
        <v>0</v>
      </c>
      <c r="AKD73" s="49">
        <v>0</v>
      </c>
      <c r="AKE73" s="49">
        <v>1</v>
      </c>
      <c r="AKF73" s="58">
        <v>2.5</v>
      </c>
      <c r="AKG73" s="58">
        <v>5</v>
      </c>
      <c r="AKH73" s="58">
        <v>4</v>
      </c>
      <c r="AKI73" s="49">
        <f>INDEX($T$2:$T$11,MATCH(AKE73,$R$2:$R$11,0))</f>
        <v>0.37</v>
      </c>
      <c r="AKJ73" s="49">
        <f t="shared" ref="AKJ73:AMF73" si="30">AKF73*AKG73*AKH73</f>
        <v>50</v>
      </c>
      <c r="AKK73" s="57">
        <f t="shared" ref="AKK73:AMG73" si="31">AKI73*AKJ73</f>
        <v>18.5</v>
      </c>
      <c r="AKL73" s="59" t="s">
        <v>44</v>
      </c>
      <c r="AKM73" s="49" t="s">
        <v>44</v>
      </c>
      <c r="AKN73" s="51">
        <v>45117</v>
      </c>
      <c r="AKO73" s="49"/>
      <c r="AKP73" s="49" t="s">
        <v>43</v>
      </c>
      <c r="AKQ73" s="49" t="s">
        <v>45</v>
      </c>
      <c r="AKR73" s="49" t="s">
        <v>42</v>
      </c>
      <c r="AKS73" s="49" t="s">
        <v>0</v>
      </c>
      <c r="AKT73" s="49">
        <v>0</v>
      </c>
      <c r="AKU73" s="49">
        <v>1</v>
      </c>
      <c r="AKV73" s="58">
        <v>2.5</v>
      </c>
      <c r="AKW73" s="58">
        <v>5</v>
      </c>
      <c r="AKX73" s="58">
        <v>4</v>
      </c>
      <c r="AKY73" s="49">
        <f>INDEX($T$2:$T$11,MATCH(AKU73,$R$2:$R$11,0))</f>
        <v>0.37</v>
      </c>
      <c r="AKZ73" s="49">
        <f t="shared" si="30"/>
        <v>50</v>
      </c>
      <c r="ALA73" s="57">
        <f t="shared" si="31"/>
        <v>18.5</v>
      </c>
      <c r="ALB73" s="59" t="s">
        <v>44</v>
      </c>
      <c r="ALC73" s="49" t="s">
        <v>44</v>
      </c>
      <c r="ALD73" s="51">
        <v>45117</v>
      </c>
      <c r="ALE73" s="49"/>
      <c r="ALF73" s="49" t="s">
        <v>43</v>
      </c>
      <c r="ALG73" s="49" t="s">
        <v>45</v>
      </c>
      <c r="ALH73" s="49" t="s">
        <v>42</v>
      </c>
      <c r="ALI73" s="49" t="s">
        <v>0</v>
      </c>
      <c r="ALJ73" s="49">
        <v>0</v>
      </c>
      <c r="ALK73" s="49">
        <v>1</v>
      </c>
      <c r="ALL73" s="58">
        <v>2.5</v>
      </c>
      <c r="ALM73" s="58">
        <v>5</v>
      </c>
      <c r="ALN73" s="58">
        <v>4</v>
      </c>
      <c r="ALO73" s="49">
        <f>INDEX($T$2:$T$11,MATCH(ALK73,$R$2:$R$11,0))</f>
        <v>0.37</v>
      </c>
      <c r="ALP73" s="49">
        <f t="shared" si="30"/>
        <v>50</v>
      </c>
      <c r="ALQ73" s="57">
        <f t="shared" si="31"/>
        <v>18.5</v>
      </c>
      <c r="ALR73" s="59" t="s">
        <v>44</v>
      </c>
      <c r="ALS73" s="49" t="s">
        <v>44</v>
      </c>
      <c r="ALT73" s="51">
        <v>45117</v>
      </c>
      <c r="ALU73" s="49"/>
      <c r="ALV73" s="49" t="s">
        <v>43</v>
      </c>
      <c r="ALW73" s="49" t="s">
        <v>45</v>
      </c>
      <c r="ALX73" s="49" t="s">
        <v>42</v>
      </c>
      <c r="ALY73" s="49" t="s">
        <v>0</v>
      </c>
      <c r="ALZ73" s="49">
        <v>0</v>
      </c>
      <c r="AMA73" s="49">
        <v>1</v>
      </c>
      <c r="AMB73" s="58">
        <v>2.5</v>
      </c>
      <c r="AMC73" s="58">
        <v>5</v>
      </c>
      <c r="AMD73" s="58">
        <v>4</v>
      </c>
      <c r="AME73" s="49">
        <f>INDEX($T$2:$T$11,MATCH(AMA73,$R$2:$R$11,0))</f>
        <v>0.37</v>
      </c>
      <c r="AMF73" s="49">
        <f t="shared" si="30"/>
        <v>50</v>
      </c>
      <c r="AMG73" s="57">
        <f t="shared" si="31"/>
        <v>18.5</v>
      </c>
      <c r="AMH73" s="59" t="s">
        <v>44</v>
      </c>
      <c r="AMI73" s="49" t="s">
        <v>44</v>
      </c>
      <c r="AMJ73" s="51">
        <v>45117</v>
      </c>
      <c r="AMK73" s="49"/>
      <c r="AML73" s="49" t="s">
        <v>43</v>
      </c>
      <c r="AMM73" s="49" t="s">
        <v>45</v>
      </c>
      <c r="AMN73" s="49" t="s">
        <v>42</v>
      </c>
      <c r="AMO73" s="49" t="s">
        <v>0</v>
      </c>
      <c r="AMP73" s="49">
        <v>0</v>
      </c>
      <c r="AMQ73" s="49">
        <v>1</v>
      </c>
      <c r="AMR73" s="58">
        <v>2.5</v>
      </c>
      <c r="AMS73" s="58">
        <v>5</v>
      </c>
      <c r="AMT73" s="58">
        <v>4</v>
      </c>
      <c r="AMU73" s="49">
        <f>INDEX($T$2:$T$11,MATCH(AMQ73,$R$2:$R$11,0))</f>
        <v>0.37</v>
      </c>
      <c r="AMV73" s="49">
        <f t="shared" ref="AMV73:AOR73" si="32">AMR73*AMS73*AMT73</f>
        <v>50</v>
      </c>
      <c r="AMW73" s="57">
        <f t="shared" ref="AMW73:AOS73" si="33">AMU73*AMV73</f>
        <v>18.5</v>
      </c>
      <c r="AMX73" s="59" t="s">
        <v>44</v>
      </c>
      <c r="AMY73" s="49" t="s">
        <v>44</v>
      </c>
      <c r="AMZ73" s="51">
        <v>45117</v>
      </c>
      <c r="ANA73" s="49"/>
      <c r="ANB73" s="49" t="s">
        <v>43</v>
      </c>
      <c r="ANC73" s="49" t="s">
        <v>45</v>
      </c>
      <c r="AND73" s="49" t="s">
        <v>42</v>
      </c>
      <c r="ANE73" s="49" t="s">
        <v>0</v>
      </c>
      <c r="ANF73" s="49">
        <v>0</v>
      </c>
      <c r="ANG73" s="49">
        <v>1</v>
      </c>
      <c r="ANH73" s="58">
        <v>2.5</v>
      </c>
      <c r="ANI73" s="58">
        <v>5</v>
      </c>
      <c r="ANJ73" s="58">
        <v>4</v>
      </c>
      <c r="ANK73" s="49">
        <f>INDEX($T$2:$T$11,MATCH(ANG73,$R$2:$R$11,0))</f>
        <v>0.37</v>
      </c>
      <c r="ANL73" s="49">
        <f t="shared" si="32"/>
        <v>50</v>
      </c>
      <c r="ANM73" s="57">
        <f t="shared" si="33"/>
        <v>18.5</v>
      </c>
      <c r="ANN73" s="59" t="s">
        <v>44</v>
      </c>
      <c r="ANO73" s="49" t="s">
        <v>44</v>
      </c>
      <c r="ANP73" s="51">
        <v>45117</v>
      </c>
      <c r="ANQ73" s="49"/>
      <c r="ANR73" s="49" t="s">
        <v>43</v>
      </c>
      <c r="ANS73" s="49" t="s">
        <v>45</v>
      </c>
      <c r="ANT73" s="49" t="s">
        <v>42</v>
      </c>
      <c r="ANU73" s="49" t="s">
        <v>0</v>
      </c>
      <c r="ANV73" s="49">
        <v>0</v>
      </c>
      <c r="ANW73" s="49">
        <v>1</v>
      </c>
      <c r="ANX73" s="58">
        <v>2.5</v>
      </c>
      <c r="ANY73" s="58">
        <v>5</v>
      </c>
      <c r="ANZ73" s="58">
        <v>4</v>
      </c>
      <c r="AOA73" s="49">
        <f>INDEX($T$2:$T$11,MATCH(ANW73,$R$2:$R$11,0))</f>
        <v>0.37</v>
      </c>
      <c r="AOB73" s="49">
        <f t="shared" si="32"/>
        <v>50</v>
      </c>
      <c r="AOC73" s="57">
        <f t="shared" si="33"/>
        <v>18.5</v>
      </c>
      <c r="AOD73" s="59" t="s">
        <v>44</v>
      </c>
      <c r="AOE73" s="49" t="s">
        <v>44</v>
      </c>
      <c r="AOF73" s="51">
        <v>45117</v>
      </c>
      <c r="AOG73" s="49"/>
      <c r="AOH73" s="49" t="s">
        <v>43</v>
      </c>
      <c r="AOI73" s="49" t="s">
        <v>45</v>
      </c>
      <c r="AOJ73" s="49" t="s">
        <v>42</v>
      </c>
      <c r="AOK73" s="49" t="s">
        <v>0</v>
      </c>
      <c r="AOL73" s="49">
        <v>0</v>
      </c>
      <c r="AOM73" s="49">
        <v>1</v>
      </c>
      <c r="AON73" s="58">
        <v>2.5</v>
      </c>
      <c r="AOO73" s="58">
        <v>5</v>
      </c>
      <c r="AOP73" s="58">
        <v>4</v>
      </c>
      <c r="AOQ73" s="49">
        <f>INDEX($T$2:$T$11,MATCH(AOM73,$R$2:$R$11,0))</f>
        <v>0.37</v>
      </c>
      <c r="AOR73" s="49">
        <f t="shared" si="32"/>
        <v>50</v>
      </c>
      <c r="AOS73" s="57">
        <f t="shared" si="33"/>
        <v>18.5</v>
      </c>
      <c r="AOT73" s="59" t="s">
        <v>44</v>
      </c>
      <c r="AOU73" s="49" t="s">
        <v>44</v>
      </c>
      <c r="AOV73" s="51">
        <v>45117</v>
      </c>
      <c r="AOW73" s="49"/>
      <c r="AOX73" s="49" t="s">
        <v>43</v>
      </c>
      <c r="AOY73" s="49" t="s">
        <v>45</v>
      </c>
      <c r="AOZ73" s="49" t="s">
        <v>42</v>
      </c>
      <c r="APA73" s="49" t="s">
        <v>0</v>
      </c>
      <c r="APB73" s="49">
        <v>0</v>
      </c>
      <c r="APC73" s="49">
        <v>1</v>
      </c>
      <c r="APD73" s="58">
        <v>2.5</v>
      </c>
      <c r="APE73" s="58">
        <v>5</v>
      </c>
      <c r="APF73" s="58">
        <v>4</v>
      </c>
      <c r="APG73" s="49">
        <f>INDEX($T$2:$T$11,MATCH(APC73,$R$2:$R$11,0))</f>
        <v>0.37</v>
      </c>
      <c r="APH73" s="49">
        <f t="shared" ref="APH73:ARD73" si="34">APD73*APE73*APF73</f>
        <v>50</v>
      </c>
      <c r="API73" s="57">
        <f t="shared" ref="API73:ARE73" si="35">APG73*APH73</f>
        <v>18.5</v>
      </c>
      <c r="APJ73" s="59" t="s">
        <v>44</v>
      </c>
      <c r="APK73" s="49" t="s">
        <v>44</v>
      </c>
      <c r="APL73" s="51">
        <v>45117</v>
      </c>
      <c r="APM73" s="49"/>
      <c r="APN73" s="49" t="s">
        <v>43</v>
      </c>
      <c r="APO73" s="49" t="s">
        <v>45</v>
      </c>
      <c r="APP73" s="49" t="s">
        <v>42</v>
      </c>
      <c r="APQ73" s="49" t="s">
        <v>0</v>
      </c>
      <c r="APR73" s="49">
        <v>0</v>
      </c>
      <c r="APS73" s="49">
        <v>1</v>
      </c>
      <c r="APT73" s="58">
        <v>2.5</v>
      </c>
      <c r="APU73" s="58">
        <v>5</v>
      </c>
      <c r="APV73" s="58">
        <v>4</v>
      </c>
      <c r="APW73" s="49">
        <f>INDEX($T$2:$T$11,MATCH(APS73,$R$2:$R$11,0))</f>
        <v>0.37</v>
      </c>
      <c r="APX73" s="49">
        <f t="shared" si="34"/>
        <v>50</v>
      </c>
      <c r="APY73" s="57">
        <f t="shared" si="35"/>
        <v>18.5</v>
      </c>
      <c r="APZ73" s="59" t="s">
        <v>44</v>
      </c>
      <c r="AQA73" s="49" t="s">
        <v>44</v>
      </c>
      <c r="AQB73" s="51">
        <v>45117</v>
      </c>
      <c r="AQC73" s="49"/>
      <c r="AQD73" s="49" t="s">
        <v>43</v>
      </c>
      <c r="AQE73" s="49" t="s">
        <v>45</v>
      </c>
      <c r="AQF73" s="49" t="s">
        <v>42</v>
      </c>
      <c r="AQG73" s="49" t="s">
        <v>0</v>
      </c>
      <c r="AQH73" s="49">
        <v>0</v>
      </c>
      <c r="AQI73" s="49">
        <v>1</v>
      </c>
      <c r="AQJ73" s="58">
        <v>2.5</v>
      </c>
      <c r="AQK73" s="58">
        <v>5</v>
      </c>
      <c r="AQL73" s="58">
        <v>4</v>
      </c>
      <c r="AQM73" s="49">
        <f>INDEX($T$2:$T$11,MATCH(AQI73,$R$2:$R$11,0))</f>
        <v>0.37</v>
      </c>
      <c r="AQN73" s="49">
        <f t="shared" si="34"/>
        <v>50</v>
      </c>
      <c r="AQO73" s="57">
        <f t="shared" si="35"/>
        <v>18.5</v>
      </c>
      <c r="AQP73" s="59" t="s">
        <v>44</v>
      </c>
      <c r="AQQ73" s="49" t="s">
        <v>44</v>
      </c>
      <c r="AQR73" s="51">
        <v>45117</v>
      </c>
      <c r="AQS73" s="49"/>
      <c r="AQT73" s="49" t="s">
        <v>43</v>
      </c>
      <c r="AQU73" s="49" t="s">
        <v>45</v>
      </c>
      <c r="AQV73" s="49" t="s">
        <v>42</v>
      </c>
      <c r="AQW73" s="49" t="s">
        <v>0</v>
      </c>
      <c r="AQX73" s="49">
        <v>0</v>
      </c>
      <c r="AQY73" s="49">
        <v>1</v>
      </c>
      <c r="AQZ73" s="58">
        <v>2.5</v>
      </c>
      <c r="ARA73" s="58">
        <v>5</v>
      </c>
      <c r="ARB73" s="58">
        <v>4</v>
      </c>
      <c r="ARC73" s="49">
        <f>INDEX($T$2:$T$11,MATCH(AQY73,$R$2:$R$11,0))</f>
        <v>0.37</v>
      </c>
      <c r="ARD73" s="49">
        <f t="shared" si="34"/>
        <v>50</v>
      </c>
      <c r="ARE73" s="57">
        <f t="shared" si="35"/>
        <v>18.5</v>
      </c>
      <c r="ARF73" s="59" t="s">
        <v>44</v>
      </c>
      <c r="ARG73" s="49" t="s">
        <v>44</v>
      </c>
      <c r="ARH73" s="51">
        <v>45117</v>
      </c>
      <c r="ARI73" s="49"/>
      <c r="ARJ73" s="49" t="s">
        <v>43</v>
      </c>
      <c r="ARK73" s="49" t="s">
        <v>45</v>
      </c>
      <c r="ARL73" s="49" t="s">
        <v>42</v>
      </c>
      <c r="ARM73" s="49" t="s">
        <v>0</v>
      </c>
      <c r="ARN73" s="49">
        <v>0</v>
      </c>
      <c r="ARO73" s="49">
        <v>1</v>
      </c>
      <c r="ARP73" s="58">
        <v>2.5</v>
      </c>
      <c r="ARQ73" s="58">
        <v>5</v>
      </c>
      <c r="ARR73" s="58">
        <v>4</v>
      </c>
      <c r="ARS73" s="49">
        <f>INDEX($T$2:$T$11,MATCH(ARO73,$R$2:$R$11,0))</f>
        <v>0.37</v>
      </c>
      <c r="ART73" s="49">
        <f t="shared" ref="ART73:ATP73" si="36">ARP73*ARQ73*ARR73</f>
        <v>50</v>
      </c>
      <c r="ARU73" s="57">
        <f t="shared" ref="ARU73:ATQ73" si="37">ARS73*ART73</f>
        <v>18.5</v>
      </c>
      <c r="ARV73" s="59" t="s">
        <v>44</v>
      </c>
      <c r="ARW73" s="49" t="s">
        <v>44</v>
      </c>
      <c r="ARX73" s="51">
        <v>45117</v>
      </c>
      <c r="ARY73" s="49"/>
      <c r="ARZ73" s="49" t="s">
        <v>43</v>
      </c>
      <c r="ASA73" s="49" t="s">
        <v>45</v>
      </c>
      <c r="ASB73" s="49" t="s">
        <v>42</v>
      </c>
      <c r="ASC73" s="49" t="s">
        <v>0</v>
      </c>
      <c r="ASD73" s="49">
        <v>0</v>
      </c>
      <c r="ASE73" s="49">
        <v>1</v>
      </c>
      <c r="ASF73" s="58">
        <v>2.5</v>
      </c>
      <c r="ASG73" s="58">
        <v>5</v>
      </c>
      <c r="ASH73" s="58">
        <v>4</v>
      </c>
      <c r="ASI73" s="49">
        <f>INDEX($T$2:$T$11,MATCH(ASE73,$R$2:$R$11,0))</f>
        <v>0.37</v>
      </c>
      <c r="ASJ73" s="49">
        <f t="shared" si="36"/>
        <v>50</v>
      </c>
      <c r="ASK73" s="57">
        <f t="shared" si="37"/>
        <v>18.5</v>
      </c>
      <c r="ASL73" s="59" t="s">
        <v>44</v>
      </c>
      <c r="ASM73" s="49" t="s">
        <v>44</v>
      </c>
      <c r="ASN73" s="51">
        <v>45117</v>
      </c>
      <c r="ASO73" s="49"/>
      <c r="ASP73" s="49" t="s">
        <v>43</v>
      </c>
      <c r="ASQ73" s="49" t="s">
        <v>45</v>
      </c>
      <c r="ASR73" s="49" t="s">
        <v>42</v>
      </c>
      <c r="ASS73" s="49" t="s">
        <v>0</v>
      </c>
      <c r="AST73" s="49">
        <v>0</v>
      </c>
      <c r="ASU73" s="49">
        <v>1</v>
      </c>
      <c r="ASV73" s="58">
        <v>2.5</v>
      </c>
      <c r="ASW73" s="58">
        <v>5</v>
      </c>
      <c r="ASX73" s="58">
        <v>4</v>
      </c>
      <c r="ASY73" s="49">
        <f>INDEX($T$2:$T$11,MATCH(ASU73,$R$2:$R$11,0))</f>
        <v>0.37</v>
      </c>
      <c r="ASZ73" s="49">
        <f t="shared" si="36"/>
        <v>50</v>
      </c>
      <c r="ATA73" s="57">
        <f t="shared" si="37"/>
        <v>18.5</v>
      </c>
      <c r="ATB73" s="59" t="s">
        <v>44</v>
      </c>
      <c r="ATC73" s="49" t="s">
        <v>44</v>
      </c>
      <c r="ATD73" s="51">
        <v>45117</v>
      </c>
      <c r="ATE73" s="49"/>
      <c r="ATF73" s="49" t="s">
        <v>43</v>
      </c>
      <c r="ATG73" s="49" t="s">
        <v>45</v>
      </c>
      <c r="ATH73" s="49" t="s">
        <v>42</v>
      </c>
      <c r="ATI73" s="49" t="s">
        <v>0</v>
      </c>
      <c r="ATJ73" s="49">
        <v>0</v>
      </c>
      <c r="ATK73" s="49">
        <v>1</v>
      </c>
      <c r="ATL73" s="58">
        <v>2.5</v>
      </c>
      <c r="ATM73" s="58">
        <v>5</v>
      </c>
      <c r="ATN73" s="58">
        <v>4</v>
      </c>
      <c r="ATO73" s="49">
        <f>INDEX($T$2:$T$11,MATCH(ATK73,$R$2:$R$11,0))</f>
        <v>0.37</v>
      </c>
      <c r="ATP73" s="49">
        <f t="shared" si="36"/>
        <v>50</v>
      </c>
      <c r="ATQ73" s="57">
        <f t="shared" si="37"/>
        <v>18.5</v>
      </c>
      <c r="ATR73" s="59" t="s">
        <v>44</v>
      </c>
      <c r="ATS73" s="49" t="s">
        <v>44</v>
      </c>
      <c r="ATT73" s="51">
        <v>45117</v>
      </c>
      <c r="ATU73" s="49"/>
      <c r="ATV73" s="49" t="s">
        <v>43</v>
      </c>
      <c r="ATW73" s="49" t="s">
        <v>45</v>
      </c>
      <c r="ATX73" s="49" t="s">
        <v>42</v>
      </c>
      <c r="ATY73" s="49" t="s">
        <v>0</v>
      </c>
      <c r="ATZ73" s="49">
        <v>0</v>
      </c>
      <c r="AUA73" s="49">
        <v>1</v>
      </c>
      <c r="AUB73" s="58">
        <v>2.5</v>
      </c>
      <c r="AUC73" s="58">
        <v>5</v>
      </c>
      <c r="AUD73" s="58">
        <v>4</v>
      </c>
      <c r="AUE73" s="49">
        <f>INDEX($T$2:$T$11,MATCH(AUA73,$R$2:$R$11,0))</f>
        <v>0.37</v>
      </c>
      <c r="AUF73" s="49">
        <f t="shared" ref="AUF73:AWB73" si="38">AUB73*AUC73*AUD73</f>
        <v>50</v>
      </c>
      <c r="AUG73" s="57">
        <f t="shared" ref="AUG73:AWC73" si="39">AUE73*AUF73</f>
        <v>18.5</v>
      </c>
      <c r="AUH73" s="59" t="s">
        <v>44</v>
      </c>
      <c r="AUI73" s="49" t="s">
        <v>44</v>
      </c>
      <c r="AUJ73" s="51">
        <v>45117</v>
      </c>
      <c r="AUK73" s="49"/>
      <c r="AUL73" s="49" t="s">
        <v>43</v>
      </c>
      <c r="AUM73" s="49" t="s">
        <v>45</v>
      </c>
      <c r="AUN73" s="49" t="s">
        <v>42</v>
      </c>
      <c r="AUO73" s="49" t="s">
        <v>0</v>
      </c>
      <c r="AUP73" s="49">
        <v>0</v>
      </c>
      <c r="AUQ73" s="49">
        <v>1</v>
      </c>
      <c r="AUR73" s="58">
        <v>2.5</v>
      </c>
      <c r="AUS73" s="58">
        <v>5</v>
      </c>
      <c r="AUT73" s="58">
        <v>4</v>
      </c>
      <c r="AUU73" s="49">
        <f>INDEX($T$2:$T$11,MATCH(AUQ73,$R$2:$R$11,0))</f>
        <v>0.37</v>
      </c>
      <c r="AUV73" s="49">
        <f t="shared" si="38"/>
        <v>50</v>
      </c>
      <c r="AUW73" s="57">
        <f t="shared" si="39"/>
        <v>18.5</v>
      </c>
      <c r="AUX73" s="59" t="s">
        <v>44</v>
      </c>
      <c r="AUY73" s="49" t="s">
        <v>44</v>
      </c>
      <c r="AUZ73" s="51">
        <v>45117</v>
      </c>
      <c r="AVA73" s="49"/>
      <c r="AVB73" s="49" t="s">
        <v>43</v>
      </c>
      <c r="AVC73" s="49" t="s">
        <v>45</v>
      </c>
      <c r="AVD73" s="49" t="s">
        <v>42</v>
      </c>
      <c r="AVE73" s="49" t="s">
        <v>0</v>
      </c>
      <c r="AVF73" s="49">
        <v>0</v>
      </c>
      <c r="AVG73" s="49">
        <v>1</v>
      </c>
      <c r="AVH73" s="58">
        <v>2.5</v>
      </c>
      <c r="AVI73" s="58">
        <v>5</v>
      </c>
      <c r="AVJ73" s="58">
        <v>4</v>
      </c>
      <c r="AVK73" s="49">
        <f>INDEX($T$2:$T$11,MATCH(AVG73,$R$2:$R$11,0))</f>
        <v>0.37</v>
      </c>
      <c r="AVL73" s="49">
        <f t="shared" si="38"/>
        <v>50</v>
      </c>
      <c r="AVM73" s="57">
        <f t="shared" si="39"/>
        <v>18.5</v>
      </c>
      <c r="AVN73" s="59" t="s">
        <v>44</v>
      </c>
      <c r="AVO73" s="49" t="s">
        <v>44</v>
      </c>
      <c r="AVP73" s="51">
        <v>45117</v>
      </c>
      <c r="AVQ73" s="49"/>
      <c r="AVR73" s="49" t="s">
        <v>43</v>
      </c>
      <c r="AVS73" s="49" t="s">
        <v>45</v>
      </c>
      <c r="AVT73" s="49" t="s">
        <v>42</v>
      </c>
      <c r="AVU73" s="49" t="s">
        <v>0</v>
      </c>
      <c r="AVV73" s="49">
        <v>0</v>
      </c>
      <c r="AVW73" s="49">
        <v>1</v>
      </c>
      <c r="AVX73" s="58">
        <v>2.5</v>
      </c>
      <c r="AVY73" s="58">
        <v>5</v>
      </c>
      <c r="AVZ73" s="58">
        <v>4</v>
      </c>
      <c r="AWA73" s="49">
        <f>INDEX($T$2:$T$11,MATCH(AVW73,$R$2:$R$11,0))</f>
        <v>0.37</v>
      </c>
      <c r="AWB73" s="49">
        <f t="shared" si="38"/>
        <v>50</v>
      </c>
      <c r="AWC73" s="57">
        <f t="shared" si="39"/>
        <v>18.5</v>
      </c>
      <c r="AWD73" s="59" t="s">
        <v>44</v>
      </c>
      <c r="AWE73" s="49" t="s">
        <v>44</v>
      </c>
      <c r="AWF73" s="51">
        <v>45117</v>
      </c>
      <c r="AWG73" s="49"/>
      <c r="AWH73" s="49" t="s">
        <v>43</v>
      </c>
      <c r="AWI73" s="49" t="s">
        <v>45</v>
      </c>
      <c r="AWJ73" s="49" t="s">
        <v>42</v>
      </c>
      <c r="AWK73" s="49" t="s">
        <v>0</v>
      </c>
      <c r="AWL73" s="49">
        <v>0</v>
      </c>
      <c r="AWM73" s="49">
        <v>1</v>
      </c>
      <c r="AWN73" s="58">
        <v>2.5</v>
      </c>
      <c r="AWO73" s="58">
        <v>5</v>
      </c>
      <c r="AWP73" s="58">
        <v>4</v>
      </c>
      <c r="AWQ73" s="49">
        <f>INDEX($T$2:$T$11,MATCH(AWM73,$R$2:$R$11,0))</f>
        <v>0.37</v>
      </c>
      <c r="AWR73" s="49">
        <f t="shared" ref="AWR73:AYN73" si="40">AWN73*AWO73*AWP73</f>
        <v>50</v>
      </c>
      <c r="AWS73" s="57">
        <f t="shared" ref="AWS73:AYO73" si="41">AWQ73*AWR73</f>
        <v>18.5</v>
      </c>
      <c r="AWT73" s="59" t="s">
        <v>44</v>
      </c>
      <c r="AWU73" s="49" t="s">
        <v>44</v>
      </c>
      <c r="AWV73" s="51">
        <v>45117</v>
      </c>
      <c r="AWW73" s="49"/>
      <c r="AWX73" s="49" t="s">
        <v>43</v>
      </c>
      <c r="AWY73" s="49" t="s">
        <v>45</v>
      </c>
      <c r="AWZ73" s="49" t="s">
        <v>42</v>
      </c>
      <c r="AXA73" s="49" t="s">
        <v>0</v>
      </c>
      <c r="AXB73" s="49">
        <v>0</v>
      </c>
      <c r="AXC73" s="49">
        <v>1</v>
      </c>
      <c r="AXD73" s="58">
        <v>2.5</v>
      </c>
      <c r="AXE73" s="58">
        <v>5</v>
      </c>
      <c r="AXF73" s="58">
        <v>4</v>
      </c>
      <c r="AXG73" s="49">
        <f>INDEX($T$2:$T$11,MATCH(AXC73,$R$2:$R$11,0))</f>
        <v>0.37</v>
      </c>
      <c r="AXH73" s="49">
        <f t="shared" si="40"/>
        <v>50</v>
      </c>
      <c r="AXI73" s="57">
        <f t="shared" si="41"/>
        <v>18.5</v>
      </c>
      <c r="AXJ73" s="59" t="s">
        <v>44</v>
      </c>
      <c r="AXK73" s="49" t="s">
        <v>44</v>
      </c>
      <c r="AXL73" s="51">
        <v>45117</v>
      </c>
      <c r="AXM73" s="49"/>
      <c r="AXN73" s="49" t="s">
        <v>43</v>
      </c>
      <c r="AXO73" s="49" t="s">
        <v>45</v>
      </c>
      <c r="AXP73" s="49" t="s">
        <v>42</v>
      </c>
      <c r="AXQ73" s="49" t="s">
        <v>0</v>
      </c>
      <c r="AXR73" s="49">
        <v>0</v>
      </c>
      <c r="AXS73" s="49">
        <v>1</v>
      </c>
      <c r="AXT73" s="58">
        <v>2.5</v>
      </c>
      <c r="AXU73" s="58">
        <v>5</v>
      </c>
      <c r="AXV73" s="58">
        <v>4</v>
      </c>
      <c r="AXW73" s="49">
        <f>INDEX($T$2:$T$11,MATCH(AXS73,$R$2:$R$11,0))</f>
        <v>0.37</v>
      </c>
      <c r="AXX73" s="49">
        <f t="shared" si="40"/>
        <v>50</v>
      </c>
      <c r="AXY73" s="57">
        <f t="shared" si="41"/>
        <v>18.5</v>
      </c>
      <c r="AXZ73" s="59" t="s">
        <v>44</v>
      </c>
      <c r="AYA73" s="49" t="s">
        <v>44</v>
      </c>
      <c r="AYB73" s="51">
        <v>45117</v>
      </c>
      <c r="AYC73" s="49"/>
      <c r="AYD73" s="49" t="s">
        <v>43</v>
      </c>
      <c r="AYE73" s="49" t="s">
        <v>45</v>
      </c>
      <c r="AYF73" s="49" t="s">
        <v>42</v>
      </c>
      <c r="AYG73" s="49" t="s">
        <v>0</v>
      </c>
      <c r="AYH73" s="49">
        <v>0</v>
      </c>
      <c r="AYI73" s="49">
        <v>1</v>
      </c>
      <c r="AYJ73" s="58">
        <v>2.5</v>
      </c>
      <c r="AYK73" s="58">
        <v>5</v>
      </c>
      <c r="AYL73" s="58">
        <v>4</v>
      </c>
      <c r="AYM73" s="49">
        <f>INDEX($T$2:$T$11,MATCH(AYI73,$R$2:$R$11,0))</f>
        <v>0.37</v>
      </c>
      <c r="AYN73" s="49">
        <f t="shared" si="40"/>
        <v>50</v>
      </c>
      <c r="AYO73" s="57">
        <f t="shared" si="41"/>
        <v>18.5</v>
      </c>
      <c r="AYP73" s="59" t="s">
        <v>44</v>
      </c>
      <c r="AYQ73" s="49" t="s">
        <v>44</v>
      </c>
      <c r="AYR73" s="51">
        <v>45117</v>
      </c>
      <c r="AYS73" s="49"/>
      <c r="AYT73" s="49" t="s">
        <v>43</v>
      </c>
      <c r="AYU73" s="49" t="s">
        <v>45</v>
      </c>
      <c r="AYV73" s="49" t="s">
        <v>42</v>
      </c>
      <c r="AYW73" s="49" t="s">
        <v>0</v>
      </c>
      <c r="AYX73" s="49">
        <v>0</v>
      </c>
      <c r="AYY73" s="49">
        <v>1</v>
      </c>
      <c r="AYZ73" s="58">
        <v>2.5</v>
      </c>
      <c r="AZA73" s="58">
        <v>5</v>
      </c>
      <c r="AZB73" s="58">
        <v>4</v>
      </c>
      <c r="AZC73" s="49">
        <f>INDEX($T$2:$T$11,MATCH(AYY73,$R$2:$R$11,0))</f>
        <v>0.37</v>
      </c>
      <c r="AZD73" s="49">
        <f t="shared" ref="AZD73:BAZ73" si="42">AYZ73*AZA73*AZB73</f>
        <v>50</v>
      </c>
      <c r="AZE73" s="57">
        <f t="shared" ref="AZE73:BBA73" si="43">AZC73*AZD73</f>
        <v>18.5</v>
      </c>
      <c r="AZF73" s="59" t="s">
        <v>44</v>
      </c>
      <c r="AZG73" s="49" t="s">
        <v>44</v>
      </c>
      <c r="AZH73" s="51">
        <v>45117</v>
      </c>
      <c r="AZI73" s="49"/>
      <c r="AZJ73" s="49" t="s">
        <v>43</v>
      </c>
      <c r="AZK73" s="49" t="s">
        <v>45</v>
      </c>
      <c r="AZL73" s="49" t="s">
        <v>42</v>
      </c>
      <c r="AZM73" s="49" t="s">
        <v>0</v>
      </c>
      <c r="AZN73" s="49">
        <v>0</v>
      </c>
      <c r="AZO73" s="49">
        <v>1</v>
      </c>
      <c r="AZP73" s="58">
        <v>2.5</v>
      </c>
      <c r="AZQ73" s="58">
        <v>5</v>
      </c>
      <c r="AZR73" s="58">
        <v>4</v>
      </c>
      <c r="AZS73" s="49">
        <f>INDEX($T$2:$T$11,MATCH(AZO73,$R$2:$R$11,0))</f>
        <v>0.37</v>
      </c>
      <c r="AZT73" s="49">
        <f t="shared" si="42"/>
        <v>50</v>
      </c>
      <c r="AZU73" s="57">
        <f t="shared" si="43"/>
        <v>18.5</v>
      </c>
      <c r="AZV73" s="59" t="s">
        <v>44</v>
      </c>
      <c r="AZW73" s="49" t="s">
        <v>44</v>
      </c>
      <c r="AZX73" s="51">
        <v>45117</v>
      </c>
      <c r="AZY73" s="49"/>
      <c r="AZZ73" s="49" t="s">
        <v>43</v>
      </c>
      <c r="BAA73" s="49" t="s">
        <v>45</v>
      </c>
      <c r="BAB73" s="49" t="s">
        <v>42</v>
      </c>
      <c r="BAC73" s="49" t="s">
        <v>0</v>
      </c>
      <c r="BAD73" s="49">
        <v>0</v>
      </c>
      <c r="BAE73" s="49">
        <v>1</v>
      </c>
      <c r="BAF73" s="58">
        <v>2.5</v>
      </c>
      <c r="BAG73" s="58">
        <v>5</v>
      </c>
      <c r="BAH73" s="58">
        <v>4</v>
      </c>
      <c r="BAI73" s="49">
        <f>INDEX($T$2:$T$11,MATCH(BAE73,$R$2:$R$11,0))</f>
        <v>0.37</v>
      </c>
      <c r="BAJ73" s="49">
        <f t="shared" si="42"/>
        <v>50</v>
      </c>
      <c r="BAK73" s="57">
        <f t="shared" si="43"/>
        <v>18.5</v>
      </c>
      <c r="BAL73" s="59" t="s">
        <v>44</v>
      </c>
      <c r="BAM73" s="49" t="s">
        <v>44</v>
      </c>
      <c r="BAN73" s="51">
        <v>45117</v>
      </c>
      <c r="BAO73" s="49"/>
      <c r="BAP73" s="49" t="s">
        <v>43</v>
      </c>
      <c r="BAQ73" s="49" t="s">
        <v>45</v>
      </c>
      <c r="BAR73" s="49" t="s">
        <v>42</v>
      </c>
      <c r="BAS73" s="49" t="s">
        <v>0</v>
      </c>
      <c r="BAT73" s="49">
        <v>0</v>
      </c>
      <c r="BAU73" s="49">
        <v>1</v>
      </c>
      <c r="BAV73" s="58">
        <v>2.5</v>
      </c>
      <c r="BAW73" s="58">
        <v>5</v>
      </c>
      <c r="BAX73" s="58">
        <v>4</v>
      </c>
      <c r="BAY73" s="49">
        <f>INDEX($T$2:$T$11,MATCH(BAU73,$R$2:$R$11,0))</f>
        <v>0.37</v>
      </c>
      <c r="BAZ73" s="49">
        <f t="shared" si="42"/>
        <v>50</v>
      </c>
      <c r="BBA73" s="57">
        <f t="shared" si="43"/>
        <v>18.5</v>
      </c>
      <c r="BBB73" s="59" t="s">
        <v>44</v>
      </c>
      <c r="BBC73" s="49" t="s">
        <v>44</v>
      </c>
      <c r="BBD73" s="51">
        <v>45117</v>
      </c>
      <c r="BBE73" s="49"/>
      <c r="BBF73" s="49" t="s">
        <v>43</v>
      </c>
      <c r="BBG73" s="49" t="s">
        <v>45</v>
      </c>
      <c r="BBH73" s="49" t="s">
        <v>42</v>
      </c>
      <c r="BBI73" s="49" t="s">
        <v>0</v>
      </c>
      <c r="BBJ73" s="49">
        <v>0</v>
      </c>
      <c r="BBK73" s="49">
        <v>1</v>
      </c>
      <c r="BBL73" s="58">
        <v>2.5</v>
      </c>
      <c r="BBM73" s="58">
        <v>5</v>
      </c>
      <c r="BBN73" s="58">
        <v>4</v>
      </c>
      <c r="BBO73" s="49">
        <f>INDEX($T$2:$T$11,MATCH(BBK73,$R$2:$R$11,0))</f>
        <v>0.37</v>
      </c>
      <c r="BBP73" s="49">
        <f t="shared" ref="BBP73:BDL73" si="44">BBL73*BBM73*BBN73</f>
        <v>50</v>
      </c>
      <c r="BBQ73" s="57">
        <f t="shared" ref="BBQ73:BDM73" si="45">BBO73*BBP73</f>
        <v>18.5</v>
      </c>
      <c r="BBR73" s="59" t="s">
        <v>44</v>
      </c>
      <c r="BBS73" s="49" t="s">
        <v>44</v>
      </c>
      <c r="BBT73" s="51">
        <v>45117</v>
      </c>
      <c r="BBU73" s="49"/>
      <c r="BBV73" s="49" t="s">
        <v>43</v>
      </c>
      <c r="BBW73" s="49" t="s">
        <v>45</v>
      </c>
      <c r="BBX73" s="49" t="s">
        <v>42</v>
      </c>
      <c r="BBY73" s="49" t="s">
        <v>0</v>
      </c>
      <c r="BBZ73" s="49">
        <v>0</v>
      </c>
      <c r="BCA73" s="49">
        <v>1</v>
      </c>
      <c r="BCB73" s="58">
        <v>2.5</v>
      </c>
      <c r="BCC73" s="58">
        <v>5</v>
      </c>
      <c r="BCD73" s="58">
        <v>4</v>
      </c>
      <c r="BCE73" s="49">
        <f>INDEX($T$2:$T$11,MATCH(BCA73,$R$2:$R$11,0))</f>
        <v>0.37</v>
      </c>
      <c r="BCF73" s="49">
        <f t="shared" si="44"/>
        <v>50</v>
      </c>
      <c r="BCG73" s="57">
        <f t="shared" si="45"/>
        <v>18.5</v>
      </c>
      <c r="BCH73" s="59" t="s">
        <v>44</v>
      </c>
      <c r="BCI73" s="49" t="s">
        <v>44</v>
      </c>
      <c r="BCJ73" s="51">
        <v>45117</v>
      </c>
      <c r="BCK73" s="49"/>
      <c r="BCL73" s="49" t="s">
        <v>43</v>
      </c>
      <c r="BCM73" s="49" t="s">
        <v>45</v>
      </c>
      <c r="BCN73" s="49" t="s">
        <v>42</v>
      </c>
      <c r="BCO73" s="49" t="s">
        <v>0</v>
      </c>
      <c r="BCP73" s="49">
        <v>0</v>
      </c>
      <c r="BCQ73" s="49">
        <v>1</v>
      </c>
      <c r="BCR73" s="58">
        <v>2.5</v>
      </c>
      <c r="BCS73" s="58">
        <v>5</v>
      </c>
      <c r="BCT73" s="58">
        <v>4</v>
      </c>
      <c r="BCU73" s="49">
        <f>INDEX($T$2:$T$11,MATCH(BCQ73,$R$2:$R$11,0))</f>
        <v>0.37</v>
      </c>
      <c r="BCV73" s="49">
        <f t="shared" si="44"/>
        <v>50</v>
      </c>
      <c r="BCW73" s="57">
        <f t="shared" si="45"/>
        <v>18.5</v>
      </c>
      <c r="BCX73" s="59" t="s">
        <v>44</v>
      </c>
      <c r="BCY73" s="49" t="s">
        <v>44</v>
      </c>
      <c r="BCZ73" s="51">
        <v>45117</v>
      </c>
      <c r="BDA73" s="49"/>
      <c r="BDB73" s="49" t="s">
        <v>43</v>
      </c>
      <c r="BDC73" s="49" t="s">
        <v>45</v>
      </c>
      <c r="BDD73" s="49" t="s">
        <v>42</v>
      </c>
      <c r="BDE73" s="49" t="s">
        <v>0</v>
      </c>
      <c r="BDF73" s="49">
        <v>0</v>
      </c>
      <c r="BDG73" s="49">
        <v>1</v>
      </c>
      <c r="BDH73" s="58">
        <v>2.5</v>
      </c>
      <c r="BDI73" s="58">
        <v>5</v>
      </c>
      <c r="BDJ73" s="58">
        <v>4</v>
      </c>
      <c r="BDK73" s="49">
        <f>INDEX($T$2:$T$11,MATCH(BDG73,$R$2:$R$11,0))</f>
        <v>0.37</v>
      </c>
      <c r="BDL73" s="49">
        <f t="shared" si="44"/>
        <v>50</v>
      </c>
      <c r="BDM73" s="57">
        <f t="shared" si="45"/>
        <v>18.5</v>
      </c>
      <c r="BDN73" s="59" t="s">
        <v>44</v>
      </c>
      <c r="BDO73" s="49" t="s">
        <v>44</v>
      </c>
      <c r="BDP73" s="51">
        <v>45117</v>
      </c>
      <c r="BDQ73" s="49"/>
      <c r="BDR73" s="49" t="s">
        <v>43</v>
      </c>
      <c r="BDS73" s="49" t="s">
        <v>45</v>
      </c>
      <c r="BDT73" s="49" t="s">
        <v>42</v>
      </c>
      <c r="BDU73" s="49" t="s">
        <v>0</v>
      </c>
      <c r="BDV73" s="49">
        <v>0</v>
      </c>
      <c r="BDW73" s="49">
        <v>1</v>
      </c>
      <c r="BDX73" s="58">
        <v>2.5</v>
      </c>
      <c r="BDY73" s="58">
        <v>5</v>
      </c>
      <c r="BDZ73" s="58">
        <v>4</v>
      </c>
      <c r="BEA73" s="49">
        <f>INDEX($T$2:$T$11,MATCH(BDW73,$R$2:$R$11,0))</f>
        <v>0.37</v>
      </c>
      <c r="BEB73" s="49">
        <f t="shared" ref="BEB73:BFX73" si="46">BDX73*BDY73*BDZ73</f>
        <v>50</v>
      </c>
      <c r="BEC73" s="57">
        <f t="shared" ref="BEC73:BFY73" si="47">BEA73*BEB73</f>
        <v>18.5</v>
      </c>
      <c r="BED73" s="59" t="s">
        <v>44</v>
      </c>
      <c r="BEE73" s="49" t="s">
        <v>44</v>
      </c>
      <c r="BEF73" s="51">
        <v>45117</v>
      </c>
      <c r="BEG73" s="49"/>
      <c r="BEH73" s="49" t="s">
        <v>43</v>
      </c>
      <c r="BEI73" s="49" t="s">
        <v>45</v>
      </c>
      <c r="BEJ73" s="49" t="s">
        <v>42</v>
      </c>
      <c r="BEK73" s="49" t="s">
        <v>0</v>
      </c>
      <c r="BEL73" s="49">
        <v>0</v>
      </c>
      <c r="BEM73" s="49">
        <v>1</v>
      </c>
      <c r="BEN73" s="58">
        <v>2.5</v>
      </c>
      <c r="BEO73" s="58">
        <v>5</v>
      </c>
      <c r="BEP73" s="58">
        <v>4</v>
      </c>
      <c r="BEQ73" s="49">
        <f>INDEX($T$2:$T$11,MATCH(BEM73,$R$2:$R$11,0))</f>
        <v>0.37</v>
      </c>
      <c r="BER73" s="49">
        <f t="shared" si="46"/>
        <v>50</v>
      </c>
      <c r="BES73" s="57">
        <f t="shared" si="47"/>
        <v>18.5</v>
      </c>
      <c r="BET73" s="59" t="s">
        <v>44</v>
      </c>
      <c r="BEU73" s="49" t="s">
        <v>44</v>
      </c>
      <c r="BEV73" s="51">
        <v>45117</v>
      </c>
      <c r="BEW73" s="49"/>
      <c r="BEX73" s="49" t="s">
        <v>43</v>
      </c>
      <c r="BEY73" s="49" t="s">
        <v>45</v>
      </c>
      <c r="BEZ73" s="49" t="s">
        <v>42</v>
      </c>
      <c r="BFA73" s="49" t="s">
        <v>0</v>
      </c>
      <c r="BFB73" s="49">
        <v>0</v>
      </c>
      <c r="BFC73" s="49">
        <v>1</v>
      </c>
      <c r="BFD73" s="58">
        <v>2.5</v>
      </c>
      <c r="BFE73" s="58">
        <v>5</v>
      </c>
      <c r="BFF73" s="58">
        <v>4</v>
      </c>
      <c r="BFG73" s="49">
        <f>INDEX($T$2:$T$11,MATCH(BFC73,$R$2:$R$11,0))</f>
        <v>0.37</v>
      </c>
      <c r="BFH73" s="49">
        <f t="shared" si="46"/>
        <v>50</v>
      </c>
      <c r="BFI73" s="57">
        <f t="shared" si="47"/>
        <v>18.5</v>
      </c>
      <c r="BFJ73" s="59" t="s">
        <v>44</v>
      </c>
      <c r="BFK73" s="49" t="s">
        <v>44</v>
      </c>
      <c r="BFL73" s="51">
        <v>45117</v>
      </c>
      <c r="BFM73" s="49"/>
      <c r="BFN73" s="49" t="s">
        <v>43</v>
      </c>
      <c r="BFO73" s="49" t="s">
        <v>45</v>
      </c>
      <c r="BFP73" s="49" t="s">
        <v>42</v>
      </c>
      <c r="BFQ73" s="49" t="s">
        <v>0</v>
      </c>
      <c r="BFR73" s="49">
        <v>0</v>
      </c>
      <c r="BFS73" s="49">
        <v>1</v>
      </c>
      <c r="BFT73" s="58">
        <v>2.5</v>
      </c>
      <c r="BFU73" s="58">
        <v>5</v>
      </c>
      <c r="BFV73" s="58">
        <v>4</v>
      </c>
      <c r="BFW73" s="49">
        <f>INDEX($T$2:$T$11,MATCH(BFS73,$R$2:$R$11,0))</f>
        <v>0.37</v>
      </c>
      <c r="BFX73" s="49">
        <f t="shared" si="46"/>
        <v>50</v>
      </c>
      <c r="BFY73" s="57">
        <f t="shared" si="47"/>
        <v>18.5</v>
      </c>
      <c r="BFZ73" s="59" t="s">
        <v>44</v>
      </c>
      <c r="BGA73" s="49" t="s">
        <v>44</v>
      </c>
      <c r="BGB73" s="51">
        <v>45117</v>
      </c>
      <c r="BGC73" s="49"/>
      <c r="BGD73" s="49" t="s">
        <v>43</v>
      </c>
      <c r="BGE73" s="49" t="s">
        <v>45</v>
      </c>
      <c r="BGF73" s="49" t="s">
        <v>42</v>
      </c>
      <c r="BGG73" s="49" t="s">
        <v>0</v>
      </c>
      <c r="BGH73" s="49">
        <v>0</v>
      </c>
      <c r="BGI73" s="49">
        <v>1</v>
      </c>
      <c r="BGJ73" s="58">
        <v>2.5</v>
      </c>
      <c r="BGK73" s="58">
        <v>5</v>
      </c>
      <c r="BGL73" s="58">
        <v>4</v>
      </c>
      <c r="BGM73" s="49">
        <f>INDEX($T$2:$T$11,MATCH(BGI73,$R$2:$R$11,0))</f>
        <v>0.37</v>
      </c>
      <c r="BGN73" s="49">
        <f t="shared" ref="BGN73:BIJ73" si="48">BGJ73*BGK73*BGL73</f>
        <v>50</v>
      </c>
      <c r="BGO73" s="57">
        <f t="shared" ref="BGO73:BIK73" si="49">BGM73*BGN73</f>
        <v>18.5</v>
      </c>
      <c r="BGP73" s="59" t="s">
        <v>44</v>
      </c>
      <c r="BGQ73" s="49" t="s">
        <v>44</v>
      </c>
      <c r="BGR73" s="51">
        <v>45117</v>
      </c>
      <c r="BGS73" s="49"/>
      <c r="BGT73" s="49" t="s">
        <v>43</v>
      </c>
      <c r="BGU73" s="49" t="s">
        <v>45</v>
      </c>
      <c r="BGV73" s="49" t="s">
        <v>42</v>
      </c>
      <c r="BGW73" s="49" t="s">
        <v>0</v>
      </c>
      <c r="BGX73" s="49">
        <v>0</v>
      </c>
      <c r="BGY73" s="49">
        <v>1</v>
      </c>
      <c r="BGZ73" s="58">
        <v>2.5</v>
      </c>
      <c r="BHA73" s="58">
        <v>5</v>
      </c>
      <c r="BHB73" s="58">
        <v>4</v>
      </c>
      <c r="BHC73" s="49">
        <f>INDEX($T$2:$T$11,MATCH(BGY73,$R$2:$R$11,0))</f>
        <v>0.37</v>
      </c>
      <c r="BHD73" s="49">
        <f t="shared" si="48"/>
        <v>50</v>
      </c>
      <c r="BHE73" s="57">
        <f t="shared" si="49"/>
        <v>18.5</v>
      </c>
      <c r="BHF73" s="59" t="s">
        <v>44</v>
      </c>
      <c r="BHG73" s="49" t="s">
        <v>44</v>
      </c>
      <c r="BHH73" s="51">
        <v>45117</v>
      </c>
      <c r="BHI73" s="49"/>
      <c r="BHJ73" s="49" t="s">
        <v>43</v>
      </c>
      <c r="BHK73" s="49" t="s">
        <v>45</v>
      </c>
      <c r="BHL73" s="49" t="s">
        <v>42</v>
      </c>
      <c r="BHM73" s="49" t="s">
        <v>0</v>
      </c>
      <c r="BHN73" s="49">
        <v>0</v>
      </c>
      <c r="BHO73" s="49">
        <v>1</v>
      </c>
      <c r="BHP73" s="58">
        <v>2.5</v>
      </c>
      <c r="BHQ73" s="58">
        <v>5</v>
      </c>
      <c r="BHR73" s="58">
        <v>4</v>
      </c>
      <c r="BHS73" s="49">
        <f>INDEX($T$2:$T$11,MATCH(BHO73,$R$2:$R$11,0))</f>
        <v>0.37</v>
      </c>
      <c r="BHT73" s="49">
        <f t="shared" si="48"/>
        <v>50</v>
      </c>
      <c r="BHU73" s="57">
        <f t="shared" si="49"/>
        <v>18.5</v>
      </c>
      <c r="BHV73" s="59" t="s">
        <v>44</v>
      </c>
      <c r="BHW73" s="49" t="s">
        <v>44</v>
      </c>
      <c r="BHX73" s="51">
        <v>45117</v>
      </c>
      <c r="BHY73" s="49"/>
      <c r="BHZ73" s="49" t="s">
        <v>43</v>
      </c>
      <c r="BIA73" s="49" t="s">
        <v>45</v>
      </c>
      <c r="BIB73" s="49" t="s">
        <v>42</v>
      </c>
      <c r="BIC73" s="49" t="s">
        <v>0</v>
      </c>
      <c r="BID73" s="49">
        <v>0</v>
      </c>
      <c r="BIE73" s="49">
        <v>1</v>
      </c>
      <c r="BIF73" s="58">
        <v>2.5</v>
      </c>
      <c r="BIG73" s="58">
        <v>5</v>
      </c>
      <c r="BIH73" s="58">
        <v>4</v>
      </c>
      <c r="BII73" s="49">
        <f>INDEX($T$2:$T$11,MATCH(BIE73,$R$2:$R$11,0))</f>
        <v>0.37</v>
      </c>
      <c r="BIJ73" s="49">
        <f t="shared" si="48"/>
        <v>50</v>
      </c>
      <c r="BIK73" s="57">
        <f t="shared" si="49"/>
        <v>18.5</v>
      </c>
      <c r="BIL73" s="59" t="s">
        <v>44</v>
      </c>
      <c r="BIM73" s="49" t="s">
        <v>44</v>
      </c>
      <c r="BIN73" s="51">
        <v>45117</v>
      </c>
      <c r="BIO73" s="49"/>
      <c r="BIP73" s="49" t="s">
        <v>43</v>
      </c>
      <c r="BIQ73" s="49" t="s">
        <v>45</v>
      </c>
      <c r="BIR73" s="49" t="s">
        <v>42</v>
      </c>
      <c r="BIS73" s="49" t="s">
        <v>0</v>
      </c>
      <c r="BIT73" s="49">
        <v>0</v>
      </c>
      <c r="BIU73" s="49">
        <v>1</v>
      </c>
      <c r="BIV73" s="58">
        <v>2.5</v>
      </c>
      <c r="BIW73" s="58">
        <v>5</v>
      </c>
      <c r="BIX73" s="58">
        <v>4</v>
      </c>
      <c r="BIY73" s="49">
        <f>INDEX($T$2:$T$11,MATCH(BIU73,$R$2:$R$11,0))</f>
        <v>0.37</v>
      </c>
      <c r="BIZ73" s="49">
        <f t="shared" ref="BIZ73:BKV73" si="50">BIV73*BIW73*BIX73</f>
        <v>50</v>
      </c>
      <c r="BJA73" s="57">
        <f t="shared" ref="BJA73:BKW73" si="51">BIY73*BIZ73</f>
        <v>18.5</v>
      </c>
      <c r="BJB73" s="59" t="s">
        <v>44</v>
      </c>
      <c r="BJC73" s="49" t="s">
        <v>44</v>
      </c>
      <c r="BJD73" s="51">
        <v>45117</v>
      </c>
      <c r="BJE73" s="49"/>
      <c r="BJF73" s="49" t="s">
        <v>43</v>
      </c>
      <c r="BJG73" s="49" t="s">
        <v>45</v>
      </c>
      <c r="BJH73" s="49" t="s">
        <v>42</v>
      </c>
      <c r="BJI73" s="49" t="s">
        <v>0</v>
      </c>
      <c r="BJJ73" s="49">
        <v>0</v>
      </c>
      <c r="BJK73" s="49">
        <v>1</v>
      </c>
      <c r="BJL73" s="58">
        <v>2.5</v>
      </c>
      <c r="BJM73" s="58">
        <v>5</v>
      </c>
      <c r="BJN73" s="58">
        <v>4</v>
      </c>
      <c r="BJO73" s="49">
        <f>INDEX($T$2:$T$11,MATCH(BJK73,$R$2:$R$11,0))</f>
        <v>0.37</v>
      </c>
      <c r="BJP73" s="49">
        <f t="shared" si="50"/>
        <v>50</v>
      </c>
      <c r="BJQ73" s="57">
        <f t="shared" si="51"/>
        <v>18.5</v>
      </c>
      <c r="BJR73" s="59" t="s">
        <v>44</v>
      </c>
      <c r="BJS73" s="49" t="s">
        <v>44</v>
      </c>
      <c r="BJT73" s="51">
        <v>45117</v>
      </c>
      <c r="BJU73" s="49"/>
      <c r="BJV73" s="49" t="s">
        <v>43</v>
      </c>
      <c r="BJW73" s="49" t="s">
        <v>45</v>
      </c>
      <c r="BJX73" s="49" t="s">
        <v>42</v>
      </c>
      <c r="BJY73" s="49" t="s">
        <v>0</v>
      </c>
      <c r="BJZ73" s="49">
        <v>0</v>
      </c>
      <c r="BKA73" s="49">
        <v>1</v>
      </c>
      <c r="BKB73" s="58">
        <v>2.5</v>
      </c>
      <c r="BKC73" s="58">
        <v>5</v>
      </c>
      <c r="BKD73" s="58">
        <v>4</v>
      </c>
      <c r="BKE73" s="49">
        <f>INDEX($T$2:$T$11,MATCH(BKA73,$R$2:$R$11,0))</f>
        <v>0.37</v>
      </c>
      <c r="BKF73" s="49">
        <f t="shared" si="50"/>
        <v>50</v>
      </c>
      <c r="BKG73" s="57">
        <f t="shared" si="51"/>
        <v>18.5</v>
      </c>
      <c r="BKH73" s="59" t="s">
        <v>44</v>
      </c>
      <c r="BKI73" s="49" t="s">
        <v>44</v>
      </c>
      <c r="BKJ73" s="51">
        <v>45117</v>
      </c>
      <c r="BKK73" s="49"/>
      <c r="BKL73" s="49" t="s">
        <v>43</v>
      </c>
      <c r="BKM73" s="49" t="s">
        <v>45</v>
      </c>
      <c r="BKN73" s="49" t="s">
        <v>42</v>
      </c>
      <c r="BKO73" s="49" t="s">
        <v>0</v>
      </c>
      <c r="BKP73" s="49">
        <v>0</v>
      </c>
      <c r="BKQ73" s="49">
        <v>1</v>
      </c>
      <c r="BKR73" s="58">
        <v>2.5</v>
      </c>
      <c r="BKS73" s="58">
        <v>5</v>
      </c>
      <c r="BKT73" s="58">
        <v>4</v>
      </c>
      <c r="BKU73" s="49">
        <f>INDEX($T$2:$T$11,MATCH(BKQ73,$R$2:$R$11,0))</f>
        <v>0.37</v>
      </c>
      <c r="BKV73" s="49">
        <f t="shared" si="50"/>
        <v>50</v>
      </c>
      <c r="BKW73" s="57">
        <f t="shared" si="51"/>
        <v>18.5</v>
      </c>
      <c r="BKX73" s="59" t="s">
        <v>44</v>
      </c>
      <c r="BKY73" s="49" t="s">
        <v>44</v>
      </c>
      <c r="BKZ73" s="51">
        <v>45117</v>
      </c>
      <c r="BLA73" s="49"/>
      <c r="BLB73" s="49" t="s">
        <v>43</v>
      </c>
      <c r="BLC73" s="49" t="s">
        <v>45</v>
      </c>
      <c r="BLD73" s="49" t="s">
        <v>42</v>
      </c>
      <c r="BLE73" s="49" t="s">
        <v>0</v>
      </c>
      <c r="BLF73" s="49">
        <v>0</v>
      </c>
      <c r="BLG73" s="49">
        <v>1</v>
      </c>
      <c r="BLH73" s="58">
        <v>2.5</v>
      </c>
      <c r="BLI73" s="58">
        <v>5</v>
      </c>
      <c r="BLJ73" s="58">
        <v>4</v>
      </c>
      <c r="BLK73" s="49">
        <f>INDEX($T$2:$T$11,MATCH(BLG73,$R$2:$R$11,0))</f>
        <v>0.37</v>
      </c>
      <c r="BLL73" s="49">
        <f t="shared" ref="BLL73:BNH73" si="52">BLH73*BLI73*BLJ73</f>
        <v>50</v>
      </c>
      <c r="BLM73" s="57">
        <f t="shared" ref="BLM73:BNI73" si="53">BLK73*BLL73</f>
        <v>18.5</v>
      </c>
      <c r="BLN73" s="59" t="s">
        <v>44</v>
      </c>
      <c r="BLO73" s="49" t="s">
        <v>44</v>
      </c>
      <c r="BLP73" s="51">
        <v>45117</v>
      </c>
      <c r="BLQ73" s="49"/>
      <c r="BLR73" s="49" t="s">
        <v>43</v>
      </c>
      <c r="BLS73" s="49" t="s">
        <v>45</v>
      </c>
      <c r="BLT73" s="49" t="s">
        <v>42</v>
      </c>
      <c r="BLU73" s="49" t="s">
        <v>0</v>
      </c>
      <c r="BLV73" s="49">
        <v>0</v>
      </c>
      <c r="BLW73" s="49">
        <v>1</v>
      </c>
      <c r="BLX73" s="58">
        <v>2.5</v>
      </c>
      <c r="BLY73" s="58">
        <v>5</v>
      </c>
      <c r="BLZ73" s="58">
        <v>4</v>
      </c>
      <c r="BMA73" s="49">
        <f>INDEX($T$2:$T$11,MATCH(BLW73,$R$2:$R$11,0))</f>
        <v>0.37</v>
      </c>
      <c r="BMB73" s="49">
        <f t="shared" si="52"/>
        <v>50</v>
      </c>
      <c r="BMC73" s="57">
        <f t="shared" si="53"/>
        <v>18.5</v>
      </c>
      <c r="BMD73" s="59" t="s">
        <v>44</v>
      </c>
      <c r="BME73" s="49" t="s">
        <v>44</v>
      </c>
      <c r="BMF73" s="51">
        <v>45117</v>
      </c>
      <c r="BMG73" s="49"/>
      <c r="BMH73" s="49" t="s">
        <v>43</v>
      </c>
      <c r="BMI73" s="49" t="s">
        <v>45</v>
      </c>
      <c r="BMJ73" s="49" t="s">
        <v>42</v>
      </c>
      <c r="BMK73" s="49" t="s">
        <v>0</v>
      </c>
      <c r="BML73" s="49">
        <v>0</v>
      </c>
      <c r="BMM73" s="49">
        <v>1</v>
      </c>
      <c r="BMN73" s="58">
        <v>2.5</v>
      </c>
      <c r="BMO73" s="58">
        <v>5</v>
      </c>
      <c r="BMP73" s="58">
        <v>4</v>
      </c>
      <c r="BMQ73" s="49">
        <f>INDEX($T$2:$T$11,MATCH(BMM73,$R$2:$R$11,0))</f>
        <v>0.37</v>
      </c>
      <c r="BMR73" s="49">
        <f t="shared" si="52"/>
        <v>50</v>
      </c>
      <c r="BMS73" s="57">
        <f t="shared" si="53"/>
        <v>18.5</v>
      </c>
      <c r="BMT73" s="59" t="s">
        <v>44</v>
      </c>
      <c r="BMU73" s="49" t="s">
        <v>44</v>
      </c>
      <c r="BMV73" s="51">
        <v>45117</v>
      </c>
      <c r="BMW73" s="49"/>
      <c r="BMX73" s="49" t="s">
        <v>43</v>
      </c>
      <c r="BMY73" s="49" t="s">
        <v>45</v>
      </c>
      <c r="BMZ73" s="49" t="s">
        <v>42</v>
      </c>
      <c r="BNA73" s="49" t="s">
        <v>0</v>
      </c>
      <c r="BNB73" s="49">
        <v>0</v>
      </c>
      <c r="BNC73" s="49">
        <v>1</v>
      </c>
      <c r="BND73" s="58">
        <v>2.5</v>
      </c>
      <c r="BNE73" s="58">
        <v>5</v>
      </c>
      <c r="BNF73" s="58">
        <v>4</v>
      </c>
      <c r="BNG73" s="49">
        <f>INDEX($T$2:$T$11,MATCH(BNC73,$R$2:$R$11,0))</f>
        <v>0.37</v>
      </c>
      <c r="BNH73" s="49">
        <f t="shared" si="52"/>
        <v>50</v>
      </c>
      <c r="BNI73" s="57">
        <f t="shared" si="53"/>
        <v>18.5</v>
      </c>
      <c r="BNJ73" s="59" t="s">
        <v>44</v>
      </c>
      <c r="BNK73" s="49" t="s">
        <v>44</v>
      </c>
      <c r="BNL73" s="51">
        <v>45117</v>
      </c>
      <c r="BNM73" s="49"/>
      <c r="BNN73" s="49" t="s">
        <v>43</v>
      </c>
      <c r="BNO73" s="49" t="s">
        <v>45</v>
      </c>
      <c r="BNP73" s="49" t="s">
        <v>42</v>
      </c>
      <c r="BNQ73" s="49" t="s">
        <v>0</v>
      </c>
      <c r="BNR73" s="49">
        <v>0</v>
      </c>
      <c r="BNS73" s="49">
        <v>1</v>
      </c>
      <c r="BNT73" s="58">
        <v>2.5</v>
      </c>
      <c r="BNU73" s="58">
        <v>5</v>
      </c>
      <c r="BNV73" s="58">
        <v>4</v>
      </c>
      <c r="BNW73" s="49">
        <f>INDEX($T$2:$T$11,MATCH(BNS73,$R$2:$R$11,0))</f>
        <v>0.37</v>
      </c>
      <c r="BNX73" s="49">
        <f t="shared" ref="BNX73:BPT73" si="54">BNT73*BNU73*BNV73</f>
        <v>50</v>
      </c>
      <c r="BNY73" s="57">
        <f t="shared" ref="BNY73:BPU73" si="55">BNW73*BNX73</f>
        <v>18.5</v>
      </c>
      <c r="BNZ73" s="59" t="s">
        <v>44</v>
      </c>
      <c r="BOA73" s="49" t="s">
        <v>44</v>
      </c>
      <c r="BOB73" s="51">
        <v>45117</v>
      </c>
      <c r="BOC73" s="49"/>
      <c r="BOD73" s="49" t="s">
        <v>43</v>
      </c>
      <c r="BOE73" s="49" t="s">
        <v>45</v>
      </c>
      <c r="BOF73" s="49" t="s">
        <v>42</v>
      </c>
      <c r="BOG73" s="49" t="s">
        <v>0</v>
      </c>
      <c r="BOH73" s="49">
        <v>0</v>
      </c>
      <c r="BOI73" s="49">
        <v>1</v>
      </c>
      <c r="BOJ73" s="58">
        <v>2.5</v>
      </c>
      <c r="BOK73" s="58">
        <v>5</v>
      </c>
      <c r="BOL73" s="58">
        <v>4</v>
      </c>
      <c r="BOM73" s="49">
        <f>INDEX($T$2:$T$11,MATCH(BOI73,$R$2:$R$11,0))</f>
        <v>0.37</v>
      </c>
      <c r="BON73" s="49">
        <f t="shared" si="54"/>
        <v>50</v>
      </c>
      <c r="BOO73" s="57">
        <f t="shared" si="55"/>
        <v>18.5</v>
      </c>
      <c r="BOP73" s="59" t="s">
        <v>44</v>
      </c>
      <c r="BOQ73" s="49" t="s">
        <v>44</v>
      </c>
      <c r="BOR73" s="51">
        <v>45117</v>
      </c>
      <c r="BOS73" s="49"/>
      <c r="BOT73" s="49" t="s">
        <v>43</v>
      </c>
      <c r="BOU73" s="49" t="s">
        <v>45</v>
      </c>
      <c r="BOV73" s="49" t="s">
        <v>42</v>
      </c>
      <c r="BOW73" s="49" t="s">
        <v>0</v>
      </c>
      <c r="BOX73" s="49">
        <v>0</v>
      </c>
      <c r="BOY73" s="49">
        <v>1</v>
      </c>
      <c r="BOZ73" s="58">
        <v>2.5</v>
      </c>
      <c r="BPA73" s="58">
        <v>5</v>
      </c>
      <c r="BPB73" s="58">
        <v>4</v>
      </c>
      <c r="BPC73" s="49">
        <f>INDEX($T$2:$T$11,MATCH(BOY73,$R$2:$R$11,0))</f>
        <v>0.37</v>
      </c>
      <c r="BPD73" s="49">
        <f t="shared" si="54"/>
        <v>50</v>
      </c>
      <c r="BPE73" s="57">
        <f t="shared" si="55"/>
        <v>18.5</v>
      </c>
      <c r="BPF73" s="59" t="s">
        <v>44</v>
      </c>
      <c r="BPG73" s="49" t="s">
        <v>44</v>
      </c>
      <c r="BPH73" s="51">
        <v>45117</v>
      </c>
      <c r="BPI73" s="49"/>
      <c r="BPJ73" s="49" t="s">
        <v>43</v>
      </c>
      <c r="BPK73" s="49" t="s">
        <v>45</v>
      </c>
      <c r="BPL73" s="49" t="s">
        <v>42</v>
      </c>
      <c r="BPM73" s="49" t="s">
        <v>0</v>
      </c>
      <c r="BPN73" s="49">
        <v>0</v>
      </c>
      <c r="BPO73" s="49">
        <v>1</v>
      </c>
      <c r="BPP73" s="58">
        <v>2.5</v>
      </c>
      <c r="BPQ73" s="58">
        <v>5</v>
      </c>
      <c r="BPR73" s="58">
        <v>4</v>
      </c>
      <c r="BPS73" s="49">
        <f>INDEX($T$2:$T$11,MATCH(BPO73,$R$2:$R$11,0))</f>
        <v>0.37</v>
      </c>
      <c r="BPT73" s="49">
        <f t="shared" si="54"/>
        <v>50</v>
      </c>
      <c r="BPU73" s="57">
        <f t="shared" si="55"/>
        <v>18.5</v>
      </c>
      <c r="BPV73" s="59" t="s">
        <v>44</v>
      </c>
      <c r="BPW73" s="49" t="s">
        <v>44</v>
      </c>
      <c r="BPX73" s="51">
        <v>45117</v>
      </c>
      <c r="BPY73" s="49"/>
      <c r="BPZ73" s="49" t="s">
        <v>43</v>
      </c>
      <c r="BQA73" s="49" t="s">
        <v>45</v>
      </c>
      <c r="BQB73" s="49" t="s">
        <v>42</v>
      </c>
      <c r="BQC73" s="49" t="s">
        <v>0</v>
      </c>
      <c r="BQD73" s="49">
        <v>0</v>
      </c>
      <c r="BQE73" s="49">
        <v>1</v>
      </c>
      <c r="BQF73" s="58">
        <v>2.5</v>
      </c>
      <c r="BQG73" s="58">
        <v>5</v>
      </c>
      <c r="BQH73" s="58">
        <v>4</v>
      </c>
      <c r="BQI73" s="49">
        <f>INDEX($T$2:$T$11,MATCH(BQE73,$R$2:$R$11,0))</f>
        <v>0.37</v>
      </c>
      <c r="BQJ73" s="49">
        <f t="shared" ref="BQJ73:BSF73" si="56">BQF73*BQG73*BQH73</f>
        <v>50</v>
      </c>
      <c r="BQK73" s="57">
        <f t="shared" ref="BQK73:BSG73" si="57">BQI73*BQJ73</f>
        <v>18.5</v>
      </c>
      <c r="BQL73" s="59" t="s">
        <v>44</v>
      </c>
      <c r="BQM73" s="49" t="s">
        <v>44</v>
      </c>
      <c r="BQN73" s="51">
        <v>45117</v>
      </c>
      <c r="BQO73" s="49"/>
      <c r="BQP73" s="49" t="s">
        <v>43</v>
      </c>
      <c r="BQQ73" s="49" t="s">
        <v>45</v>
      </c>
      <c r="BQR73" s="49" t="s">
        <v>42</v>
      </c>
      <c r="BQS73" s="49" t="s">
        <v>0</v>
      </c>
      <c r="BQT73" s="49">
        <v>0</v>
      </c>
      <c r="BQU73" s="49">
        <v>1</v>
      </c>
      <c r="BQV73" s="58">
        <v>2.5</v>
      </c>
      <c r="BQW73" s="58">
        <v>5</v>
      </c>
      <c r="BQX73" s="58">
        <v>4</v>
      </c>
      <c r="BQY73" s="49">
        <f>INDEX($T$2:$T$11,MATCH(BQU73,$R$2:$R$11,0))</f>
        <v>0.37</v>
      </c>
      <c r="BQZ73" s="49">
        <f t="shared" si="56"/>
        <v>50</v>
      </c>
      <c r="BRA73" s="57">
        <f t="shared" si="57"/>
        <v>18.5</v>
      </c>
      <c r="BRB73" s="59" t="s">
        <v>44</v>
      </c>
      <c r="BRC73" s="49" t="s">
        <v>44</v>
      </c>
      <c r="BRD73" s="51">
        <v>45117</v>
      </c>
      <c r="BRE73" s="49"/>
      <c r="BRF73" s="49" t="s">
        <v>43</v>
      </c>
      <c r="BRG73" s="49" t="s">
        <v>45</v>
      </c>
      <c r="BRH73" s="49" t="s">
        <v>42</v>
      </c>
      <c r="BRI73" s="49" t="s">
        <v>0</v>
      </c>
      <c r="BRJ73" s="49">
        <v>0</v>
      </c>
      <c r="BRK73" s="49">
        <v>1</v>
      </c>
      <c r="BRL73" s="58">
        <v>2.5</v>
      </c>
      <c r="BRM73" s="58">
        <v>5</v>
      </c>
      <c r="BRN73" s="58">
        <v>4</v>
      </c>
      <c r="BRO73" s="49">
        <f>INDEX($T$2:$T$11,MATCH(BRK73,$R$2:$R$11,0))</f>
        <v>0.37</v>
      </c>
      <c r="BRP73" s="49">
        <f t="shared" si="56"/>
        <v>50</v>
      </c>
      <c r="BRQ73" s="57">
        <f t="shared" si="57"/>
        <v>18.5</v>
      </c>
      <c r="BRR73" s="59" t="s">
        <v>44</v>
      </c>
      <c r="BRS73" s="49" t="s">
        <v>44</v>
      </c>
      <c r="BRT73" s="51">
        <v>45117</v>
      </c>
      <c r="BRU73" s="49"/>
      <c r="BRV73" s="49" t="s">
        <v>43</v>
      </c>
      <c r="BRW73" s="49" t="s">
        <v>45</v>
      </c>
      <c r="BRX73" s="49" t="s">
        <v>42</v>
      </c>
      <c r="BRY73" s="49" t="s">
        <v>0</v>
      </c>
      <c r="BRZ73" s="49">
        <v>0</v>
      </c>
      <c r="BSA73" s="49">
        <v>1</v>
      </c>
      <c r="BSB73" s="58">
        <v>2.5</v>
      </c>
      <c r="BSC73" s="58">
        <v>5</v>
      </c>
      <c r="BSD73" s="58">
        <v>4</v>
      </c>
      <c r="BSE73" s="49">
        <f>INDEX($T$2:$T$11,MATCH(BSA73,$R$2:$R$11,0))</f>
        <v>0.37</v>
      </c>
      <c r="BSF73" s="49">
        <f t="shared" si="56"/>
        <v>50</v>
      </c>
      <c r="BSG73" s="57">
        <f t="shared" si="57"/>
        <v>18.5</v>
      </c>
      <c r="BSH73" s="59" t="s">
        <v>44</v>
      </c>
      <c r="BSI73" s="49" t="s">
        <v>44</v>
      </c>
      <c r="BSJ73" s="51">
        <v>45117</v>
      </c>
      <c r="BSK73" s="49"/>
      <c r="BSL73" s="49" t="s">
        <v>43</v>
      </c>
      <c r="BSM73" s="49" t="s">
        <v>45</v>
      </c>
      <c r="BSN73" s="49" t="s">
        <v>42</v>
      </c>
      <c r="BSO73" s="49" t="s">
        <v>0</v>
      </c>
      <c r="BSP73" s="49">
        <v>0</v>
      </c>
      <c r="BSQ73" s="49">
        <v>1</v>
      </c>
      <c r="BSR73" s="58">
        <v>2.5</v>
      </c>
      <c r="BSS73" s="58">
        <v>5</v>
      </c>
      <c r="BST73" s="58">
        <v>4</v>
      </c>
      <c r="BSU73" s="49">
        <f>INDEX($T$2:$T$11,MATCH(BSQ73,$R$2:$R$11,0))</f>
        <v>0.37</v>
      </c>
      <c r="BSV73" s="49">
        <f t="shared" ref="BSV73:BUR73" si="58">BSR73*BSS73*BST73</f>
        <v>50</v>
      </c>
      <c r="BSW73" s="57">
        <f t="shared" ref="BSW73:BUS73" si="59">BSU73*BSV73</f>
        <v>18.5</v>
      </c>
      <c r="BSX73" s="59" t="s">
        <v>44</v>
      </c>
      <c r="BSY73" s="49" t="s">
        <v>44</v>
      </c>
      <c r="BSZ73" s="51">
        <v>45117</v>
      </c>
      <c r="BTA73" s="49"/>
      <c r="BTB73" s="49" t="s">
        <v>43</v>
      </c>
      <c r="BTC73" s="49" t="s">
        <v>45</v>
      </c>
      <c r="BTD73" s="49" t="s">
        <v>42</v>
      </c>
      <c r="BTE73" s="49" t="s">
        <v>0</v>
      </c>
      <c r="BTF73" s="49">
        <v>0</v>
      </c>
      <c r="BTG73" s="49">
        <v>1</v>
      </c>
      <c r="BTH73" s="58">
        <v>2.5</v>
      </c>
      <c r="BTI73" s="58">
        <v>5</v>
      </c>
      <c r="BTJ73" s="58">
        <v>4</v>
      </c>
      <c r="BTK73" s="49">
        <f>INDEX($T$2:$T$11,MATCH(BTG73,$R$2:$R$11,0))</f>
        <v>0.37</v>
      </c>
      <c r="BTL73" s="49">
        <f t="shared" si="58"/>
        <v>50</v>
      </c>
      <c r="BTM73" s="57">
        <f t="shared" si="59"/>
        <v>18.5</v>
      </c>
      <c r="BTN73" s="59" t="s">
        <v>44</v>
      </c>
      <c r="BTO73" s="49" t="s">
        <v>44</v>
      </c>
      <c r="BTP73" s="51">
        <v>45117</v>
      </c>
      <c r="BTQ73" s="49"/>
      <c r="BTR73" s="49" t="s">
        <v>43</v>
      </c>
      <c r="BTS73" s="49" t="s">
        <v>45</v>
      </c>
      <c r="BTT73" s="49" t="s">
        <v>42</v>
      </c>
      <c r="BTU73" s="49" t="s">
        <v>0</v>
      </c>
      <c r="BTV73" s="49">
        <v>0</v>
      </c>
      <c r="BTW73" s="49">
        <v>1</v>
      </c>
      <c r="BTX73" s="58">
        <v>2.5</v>
      </c>
      <c r="BTY73" s="58">
        <v>5</v>
      </c>
      <c r="BTZ73" s="58">
        <v>4</v>
      </c>
      <c r="BUA73" s="49">
        <f>INDEX($T$2:$T$11,MATCH(BTW73,$R$2:$R$11,0))</f>
        <v>0.37</v>
      </c>
      <c r="BUB73" s="49">
        <f t="shared" si="58"/>
        <v>50</v>
      </c>
      <c r="BUC73" s="57">
        <f t="shared" si="59"/>
        <v>18.5</v>
      </c>
      <c r="BUD73" s="59" t="s">
        <v>44</v>
      </c>
      <c r="BUE73" s="49" t="s">
        <v>44</v>
      </c>
      <c r="BUF73" s="51">
        <v>45117</v>
      </c>
      <c r="BUG73" s="49"/>
      <c r="BUH73" s="49" t="s">
        <v>43</v>
      </c>
      <c r="BUI73" s="49" t="s">
        <v>45</v>
      </c>
      <c r="BUJ73" s="49" t="s">
        <v>42</v>
      </c>
      <c r="BUK73" s="49" t="s">
        <v>0</v>
      </c>
      <c r="BUL73" s="49">
        <v>0</v>
      </c>
      <c r="BUM73" s="49">
        <v>1</v>
      </c>
      <c r="BUN73" s="58">
        <v>2.5</v>
      </c>
      <c r="BUO73" s="58">
        <v>5</v>
      </c>
      <c r="BUP73" s="58">
        <v>4</v>
      </c>
      <c r="BUQ73" s="49">
        <f>INDEX($T$2:$T$11,MATCH(BUM73,$R$2:$R$11,0))</f>
        <v>0.37</v>
      </c>
      <c r="BUR73" s="49">
        <f t="shared" si="58"/>
        <v>50</v>
      </c>
      <c r="BUS73" s="57">
        <f t="shared" si="59"/>
        <v>18.5</v>
      </c>
      <c r="BUT73" s="59" t="s">
        <v>44</v>
      </c>
      <c r="BUU73" s="49" t="s">
        <v>44</v>
      </c>
      <c r="BUV73" s="51">
        <v>45117</v>
      </c>
      <c r="BUW73" s="49"/>
      <c r="BUX73" s="49" t="s">
        <v>43</v>
      </c>
      <c r="BUY73" s="49" t="s">
        <v>45</v>
      </c>
      <c r="BUZ73" s="49" t="s">
        <v>42</v>
      </c>
      <c r="BVA73" s="49" t="s">
        <v>0</v>
      </c>
      <c r="BVB73" s="49">
        <v>0</v>
      </c>
      <c r="BVC73" s="49">
        <v>1</v>
      </c>
      <c r="BVD73" s="58">
        <v>2.5</v>
      </c>
      <c r="BVE73" s="58">
        <v>5</v>
      </c>
      <c r="BVF73" s="58">
        <v>4</v>
      </c>
      <c r="BVG73" s="49">
        <f>INDEX($T$2:$T$11,MATCH(BVC73,$R$2:$R$11,0))</f>
        <v>0.37</v>
      </c>
      <c r="BVH73" s="49">
        <f t="shared" ref="BVH73:BXD73" si="60">BVD73*BVE73*BVF73</f>
        <v>50</v>
      </c>
      <c r="BVI73" s="57">
        <f t="shared" ref="BVI73:BXE73" si="61">BVG73*BVH73</f>
        <v>18.5</v>
      </c>
      <c r="BVJ73" s="59" t="s">
        <v>44</v>
      </c>
      <c r="BVK73" s="49" t="s">
        <v>44</v>
      </c>
      <c r="BVL73" s="51">
        <v>45117</v>
      </c>
      <c r="BVM73" s="49"/>
      <c r="BVN73" s="49" t="s">
        <v>43</v>
      </c>
      <c r="BVO73" s="49" t="s">
        <v>45</v>
      </c>
      <c r="BVP73" s="49" t="s">
        <v>42</v>
      </c>
      <c r="BVQ73" s="49" t="s">
        <v>0</v>
      </c>
      <c r="BVR73" s="49">
        <v>0</v>
      </c>
      <c r="BVS73" s="49">
        <v>1</v>
      </c>
      <c r="BVT73" s="58">
        <v>2.5</v>
      </c>
      <c r="BVU73" s="58">
        <v>5</v>
      </c>
      <c r="BVV73" s="58">
        <v>4</v>
      </c>
      <c r="BVW73" s="49">
        <f>INDEX($T$2:$T$11,MATCH(BVS73,$R$2:$R$11,0))</f>
        <v>0.37</v>
      </c>
      <c r="BVX73" s="49">
        <f t="shared" si="60"/>
        <v>50</v>
      </c>
      <c r="BVY73" s="57">
        <f t="shared" si="61"/>
        <v>18.5</v>
      </c>
      <c r="BVZ73" s="59" t="s">
        <v>44</v>
      </c>
      <c r="BWA73" s="49" t="s">
        <v>44</v>
      </c>
      <c r="BWB73" s="51">
        <v>45117</v>
      </c>
      <c r="BWC73" s="49"/>
      <c r="BWD73" s="49" t="s">
        <v>43</v>
      </c>
      <c r="BWE73" s="49" t="s">
        <v>45</v>
      </c>
      <c r="BWF73" s="49" t="s">
        <v>42</v>
      </c>
      <c r="BWG73" s="49" t="s">
        <v>0</v>
      </c>
      <c r="BWH73" s="49">
        <v>0</v>
      </c>
      <c r="BWI73" s="49">
        <v>1</v>
      </c>
      <c r="BWJ73" s="58">
        <v>2.5</v>
      </c>
      <c r="BWK73" s="58">
        <v>5</v>
      </c>
      <c r="BWL73" s="58">
        <v>4</v>
      </c>
      <c r="BWM73" s="49">
        <f>INDEX($T$2:$T$11,MATCH(BWI73,$R$2:$R$11,0))</f>
        <v>0.37</v>
      </c>
      <c r="BWN73" s="49">
        <f t="shared" si="60"/>
        <v>50</v>
      </c>
      <c r="BWO73" s="57">
        <f t="shared" si="61"/>
        <v>18.5</v>
      </c>
      <c r="BWP73" s="59" t="s">
        <v>44</v>
      </c>
      <c r="BWQ73" s="49" t="s">
        <v>44</v>
      </c>
      <c r="BWR73" s="51">
        <v>45117</v>
      </c>
      <c r="BWS73" s="49"/>
      <c r="BWT73" s="49" t="s">
        <v>43</v>
      </c>
      <c r="BWU73" s="49" t="s">
        <v>45</v>
      </c>
      <c r="BWV73" s="49" t="s">
        <v>42</v>
      </c>
      <c r="BWW73" s="49" t="s">
        <v>0</v>
      </c>
      <c r="BWX73" s="49">
        <v>0</v>
      </c>
      <c r="BWY73" s="49">
        <v>1</v>
      </c>
      <c r="BWZ73" s="58">
        <v>2.5</v>
      </c>
      <c r="BXA73" s="58">
        <v>5</v>
      </c>
      <c r="BXB73" s="58">
        <v>4</v>
      </c>
      <c r="BXC73" s="49">
        <f>INDEX($T$2:$T$11,MATCH(BWY73,$R$2:$R$11,0))</f>
        <v>0.37</v>
      </c>
      <c r="BXD73" s="49">
        <f t="shared" si="60"/>
        <v>50</v>
      </c>
      <c r="BXE73" s="57">
        <f t="shared" si="61"/>
        <v>18.5</v>
      </c>
      <c r="BXF73" s="59" t="s">
        <v>44</v>
      </c>
      <c r="BXG73" s="49" t="s">
        <v>44</v>
      </c>
      <c r="BXH73" s="51">
        <v>45117</v>
      </c>
      <c r="BXI73" s="49"/>
      <c r="BXJ73" s="49" t="s">
        <v>43</v>
      </c>
      <c r="BXK73" s="49" t="s">
        <v>45</v>
      </c>
      <c r="BXL73" s="49" t="s">
        <v>42</v>
      </c>
      <c r="BXM73" s="49" t="s">
        <v>0</v>
      </c>
      <c r="BXN73" s="49">
        <v>0</v>
      </c>
      <c r="BXO73" s="49">
        <v>1</v>
      </c>
      <c r="BXP73" s="58">
        <v>2.5</v>
      </c>
      <c r="BXQ73" s="58">
        <v>5</v>
      </c>
      <c r="BXR73" s="58">
        <v>4</v>
      </c>
      <c r="BXS73" s="49">
        <f>INDEX($T$2:$T$11,MATCH(BXO73,$R$2:$R$11,0))</f>
        <v>0.37</v>
      </c>
      <c r="BXT73" s="49">
        <f t="shared" ref="BXT73:BZP73" si="62">BXP73*BXQ73*BXR73</f>
        <v>50</v>
      </c>
      <c r="BXU73" s="57">
        <f t="shared" ref="BXU73:BZQ73" si="63">BXS73*BXT73</f>
        <v>18.5</v>
      </c>
      <c r="BXV73" s="59" t="s">
        <v>44</v>
      </c>
      <c r="BXW73" s="49" t="s">
        <v>44</v>
      </c>
      <c r="BXX73" s="51">
        <v>45117</v>
      </c>
      <c r="BXY73" s="49"/>
      <c r="BXZ73" s="49" t="s">
        <v>43</v>
      </c>
      <c r="BYA73" s="49" t="s">
        <v>45</v>
      </c>
      <c r="BYB73" s="49" t="s">
        <v>42</v>
      </c>
      <c r="BYC73" s="49" t="s">
        <v>0</v>
      </c>
      <c r="BYD73" s="49">
        <v>0</v>
      </c>
      <c r="BYE73" s="49">
        <v>1</v>
      </c>
      <c r="BYF73" s="58">
        <v>2.5</v>
      </c>
      <c r="BYG73" s="58">
        <v>5</v>
      </c>
      <c r="BYH73" s="58">
        <v>4</v>
      </c>
      <c r="BYI73" s="49">
        <f>INDEX($T$2:$T$11,MATCH(BYE73,$R$2:$R$11,0))</f>
        <v>0.37</v>
      </c>
      <c r="BYJ73" s="49">
        <f t="shared" si="62"/>
        <v>50</v>
      </c>
      <c r="BYK73" s="57">
        <f t="shared" si="63"/>
        <v>18.5</v>
      </c>
      <c r="BYL73" s="59" t="s">
        <v>44</v>
      </c>
      <c r="BYM73" s="49" t="s">
        <v>44</v>
      </c>
      <c r="BYN73" s="51">
        <v>45117</v>
      </c>
      <c r="BYO73" s="49"/>
      <c r="BYP73" s="49" t="s">
        <v>43</v>
      </c>
      <c r="BYQ73" s="49" t="s">
        <v>45</v>
      </c>
      <c r="BYR73" s="49" t="s">
        <v>42</v>
      </c>
      <c r="BYS73" s="49" t="s">
        <v>0</v>
      </c>
      <c r="BYT73" s="49">
        <v>0</v>
      </c>
      <c r="BYU73" s="49">
        <v>1</v>
      </c>
      <c r="BYV73" s="58">
        <v>2.5</v>
      </c>
      <c r="BYW73" s="58">
        <v>5</v>
      </c>
      <c r="BYX73" s="58">
        <v>4</v>
      </c>
      <c r="BYY73" s="49">
        <f>INDEX($T$2:$T$11,MATCH(BYU73,$R$2:$R$11,0))</f>
        <v>0.37</v>
      </c>
      <c r="BYZ73" s="49">
        <f t="shared" si="62"/>
        <v>50</v>
      </c>
      <c r="BZA73" s="57">
        <f t="shared" si="63"/>
        <v>18.5</v>
      </c>
      <c r="BZB73" s="59" t="s">
        <v>44</v>
      </c>
      <c r="BZC73" s="49" t="s">
        <v>44</v>
      </c>
      <c r="BZD73" s="51">
        <v>45117</v>
      </c>
      <c r="BZE73" s="49"/>
      <c r="BZF73" s="49" t="s">
        <v>43</v>
      </c>
      <c r="BZG73" s="49" t="s">
        <v>45</v>
      </c>
      <c r="BZH73" s="49" t="s">
        <v>42</v>
      </c>
      <c r="BZI73" s="49" t="s">
        <v>0</v>
      </c>
      <c r="BZJ73" s="49">
        <v>0</v>
      </c>
      <c r="BZK73" s="49">
        <v>1</v>
      </c>
      <c r="BZL73" s="58">
        <v>2.5</v>
      </c>
      <c r="BZM73" s="58">
        <v>5</v>
      </c>
      <c r="BZN73" s="58">
        <v>4</v>
      </c>
      <c r="BZO73" s="49">
        <f>INDEX($T$2:$T$11,MATCH(BZK73,$R$2:$R$11,0))</f>
        <v>0.37</v>
      </c>
      <c r="BZP73" s="49">
        <f t="shared" si="62"/>
        <v>50</v>
      </c>
      <c r="BZQ73" s="57">
        <f t="shared" si="63"/>
        <v>18.5</v>
      </c>
      <c r="BZR73" s="59" t="s">
        <v>44</v>
      </c>
      <c r="BZS73" s="49" t="s">
        <v>44</v>
      </c>
      <c r="BZT73" s="51">
        <v>45117</v>
      </c>
      <c r="BZU73" s="49"/>
      <c r="BZV73" s="49" t="s">
        <v>43</v>
      </c>
      <c r="BZW73" s="49" t="s">
        <v>45</v>
      </c>
      <c r="BZX73" s="49" t="s">
        <v>42</v>
      </c>
      <c r="BZY73" s="49" t="s">
        <v>0</v>
      </c>
      <c r="BZZ73" s="49">
        <v>0</v>
      </c>
      <c r="CAA73" s="49">
        <v>1</v>
      </c>
      <c r="CAB73" s="58">
        <v>2.5</v>
      </c>
      <c r="CAC73" s="58">
        <v>5</v>
      </c>
      <c r="CAD73" s="58">
        <v>4</v>
      </c>
      <c r="CAE73" s="49">
        <f>INDEX($T$2:$T$11,MATCH(CAA73,$R$2:$R$11,0))</f>
        <v>0.37</v>
      </c>
      <c r="CAF73" s="49">
        <f t="shared" ref="CAF73:CCB73" si="64">CAB73*CAC73*CAD73</f>
        <v>50</v>
      </c>
      <c r="CAG73" s="57">
        <f t="shared" ref="CAG73:CCC73" si="65">CAE73*CAF73</f>
        <v>18.5</v>
      </c>
      <c r="CAH73" s="59" t="s">
        <v>44</v>
      </c>
      <c r="CAI73" s="49" t="s">
        <v>44</v>
      </c>
      <c r="CAJ73" s="51">
        <v>45117</v>
      </c>
      <c r="CAK73" s="49"/>
      <c r="CAL73" s="49" t="s">
        <v>43</v>
      </c>
      <c r="CAM73" s="49" t="s">
        <v>45</v>
      </c>
      <c r="CAN73" s="49" t="s">
        <v>42</v>
      </c>
      <c r="CAO73" s="49" t="s">
        <v>0</v>
      </c>
      <c r="CAP73" s="49">
        <v>0</v>
      </c>
      <c r="CAQ73" s="49">
        <v>1</v>
      </c>
      <c r="CAR73" s="58">
        <v>2.5</v>
      </c>
      <c r="CAS73" s="58">
        <v>5</v>
      </c>
      <c r="CAT73" s="58">
        <v>4</v>
      </c>
      <c r="CAU73" s="49">
        <f>INDEX($T$2:$T$11,MATCH(CAQ73,$R$2:$R$11,0))</f>
        <v>0.37</v>
      </c>
      <c r="CAV73" s="49">
        <f t="shared" si="64"/>
        <v>50</v>
      </c>
      <c r="CAW73" s="57">
        <f t="shared" si="65"/>
        <v>18.5</v>
      </c>
      <c r="CAX73" s="59" t="s">
        <v>44</v>
      </c>
      <c r="CAY73" s="49" t="s">
        <v>44</v>
      </c>
      <c r="CAZ73" s="51">
        <v>45117</v>
      </c>
      <c r="CBA73" s="49"/>
      <c r="CBB73" s="49" t="s">
        <v>43</v>
      </c>
      <c r="CBC73" s="49" t="s">
        <v>45</v>
      </c>
      <c r="CBD73" s="49" t="s">
        <v>42</v>
      </c>
      <c r="CBE73" s="49" t="s">
        <v>0</v>
      </c>
      <c r="CBF73" s="49">
        <v>0</v>
      </c>
      <c r="CBG73" s="49">
        <v>1</v>
      </c>
      <c r="CBH73" s="58">
        <v>2.5</v>
      </c>
      <c r="CBI73" s="58">
        <v>5</v>
      </c>
      <c r="CBJ73" s="58">
        <v>4</v>
      </c>
      <c r="CBK73" s="49">
        <f>INDEX($T$2:$T$11,MATCH(CBG73,$R$2:$R$11,0))</f>
        <v>0.37</v>
      </c>
      <c r="CBL73" s="49">
        <f t="shared" si="64"/>
        <v>50</v>
      </c>
      <c r="CBM73" s="57">
        <f t="shared" si="65"/>
        <v>18.5</v>
      </c>
      <c r="CBN73" s="59" t="s">
        <v>44</v>
      </c>
      <c r="CBO73" s="49" t="s">
        <v>44</v>
      </c>
      <c r="CBP73" s="51">
        <v>45117</v>
      </c>
      <c r="CBQ73" s="49"/>
      <c r="CBR73" s="49" t="s">
        <v>43</v>
      </c>
      <c r="CBS73" s="49" t="s">
        <v>45</v>
      </c>
      <c r="CBT73" s="49" t="s">
        <v>42</v>
      </c>
      <c r="CBU73" s="49" t="s">
        <v>0</v>
      </c>
      <c r="CBV73" s="49">
        <v>0</v>
      </c>
      <c r="CBW73" s="49">
        <v>1</v>
      </c>
      <c r="CBX73" s="58">
        <v>2.5</v>
      </c>
      <c r="CBY73" s="58">
        <v>5</v>
      </c>
      <c r="CBZ73" s="58">
        <v>4</v>
      </c>
      <c r="CCA73" s="49">
        <f>INDEX($T$2:$T$11,MATCH(CBW73,$R$2:$R$11,0))</f>
        <v>0.37</v>
      </c>
      <c r="CCB73" s="49">
        <f t="shared" si="64"/>
        <v>50</v>
      </c>
      <c r="CCC73" s="57">
        <f t="shared" si="65"/>
        <v>18.5</v>
      </c>
      <c r="CCD73" s="59" t="s">
        <v>44</v>
      </c>
      <c r="CCE73" s="49" t="s">
        <v>44</v>
      </c>
      <c r="CCF73" s="51">
        <v>45117</v>
      </c>
      <c r="CCG73" s="49"/>
      <c r="CCH73" s="49" t="s">
        <v>43</v>
      </c>
      <c r="CCI73" s="49" t="s">
        <v>45</v>
      </c>
      <c r="CCJ73" s="49" t="s">
        <v>42</v>
      </c>
      <c r="CCK73" s="49" t="s">
        <v>0</v>
      </c>
      <c r="CCL73" s="49">
        <v>0</v>
      </c>
      <c r="CCM73" s="49">
        <v>1</v>
      </c>
      <c r="CCN73" s="58">
        <v>2.5</v>
      </c>
      <c r="CCO73" s="58">
        <v>5</v>
      </c>
      <c r="CCP73" s="58">
        <v>4</v>
      </c>
      <c r="CCQ73" s="49">
        <f>INDEX($T$2:$T$11,MATCH(CCM73,$R$2:$R$11,0))</f>
        <v>0.37</v>
      </c>
      <c r="CCR73" s="49">
        <f t="shared" ref="CCR73:CEN73" si="66">CCN73*CCO73*CCP73</f>
        <v>50</v>
      </c>
      <c r="CCS73" s="57">
        <f t="shared" ref="CCS73:CEO73" si="67">CCQ73*CCR73</f>
        <v>18.5</v>
      </c>
      <c r="CCT73" s="59" t="s">
        <v>44</v>
      </c>
      <c r="CCU73" s="49" t="s">
        <v>44</v>
      </c>
      <c r="CCV73" s="51">
        <v>45117</v>
      </c>
      <c r="CCW73" s="49"/>
      <c r="CCX73" s="49" t="s">
        <v>43</v>
      </c>
      <c r="CCY73" s="49" t="s">
        <v>45</v>
      </c>
      <c r="CCZ73" s="49" t="s">
        <v>42</v>
      </c>
      <c r="CDA73" s="49" t="s">
        <v>0</v>
      </c>
      <c r="CDB73" s="49">
        <v>0</v>
      </c>
      <c r="CDC73" s="49">
        <v>1</v>
      </c>
      <c r="CDD73" s="58">
        <v>2.5</v>
      </c>
      <c r="CDE73" s="58">
        <v>5</v>
      </c>
      <c r="CDF73" s="58">
        <v>4</v>
      </c>
      <c r="CDG73" s="49">
        <f>INDEX($T$2:$T$11,MATCH(CDC73,$R$2:$R$11,0))</f>
        <v>0.37</v>
      </c>
      <c r="CDH73" s="49">
        <f t="shared" si="66"/>
        <v>50</v>
      </c>
      <c r="CDI73" s="57">
        <f t="shared" si="67"/>
        <v>18.5</v>
      </c>
      <c r="CDJ73" s="59" t="s">
        <v>44</v>
      </c>
      <c r="CDK73" s="49" t="s">
        <v>44</v>
      </c>
      <c r="CDL73" s="51">
        <v>45117</v>
      </c>
      <c r="CDM73" s="49"/>
      <c r="CDN73" s="49" t="s">
        <v>43</v>
      </c>
      <c r="CDO73" s="49" t="s">
        <v>45</v>
      </c>
      <c r="CDP73" s="49" t="s">
        <v>42</v>
      </c>
      <c r="CDQ73" s="49" t="s">
        <v>0</v>
      </c>
      <c r="CDR73" s="49">
        <v>0</v>
      </c>
      <c r="CDS73" s="49">
        <v>1</v>
      </c>
      <c r="CDT73" s="58">
        <v>2.5</v>
      </c>
      <c r="CDU73" s="58">
        <v>5</v>
      </c>
      <c r="CDV73" s="58">
        <v>4</v>
      </c>
      <c r="CDW73" s="49">
        <f>INDEX($T$2:$T$11,MATCH(CDS73,$R$2:$R$11,0))</f>
        <v>0.37</v>
      </c>
      <c r="CDX73" s="49">
        <f t="shared" si="66"/>
        <v>50</v>
      </c>
      <c r="CDY73" s="57">
        <f t="shared" si="67"/>
        <v>18.5</v>
      </c>
      <c r="CDZ73" s="59" t="s">
        <v>44</v>
      </c>
      <c r="CEA73" s="49" t="s">
        <v>44</v>
      </c>
      <c r="CEB73" s="51">
        <v>45117</v>
      </c>
      <c r="CEC73" s="49"/>
      <c r="CED73" s="49" t="s">
        <v>43</v>
      </c>
      <c r="CEE73" s="49" t="s">
        <v>45</v>
      </c>
      <c r="CEF73" s="49" t="s">
        <v>42</v>
      </c>
      <c r="CEG73" s="49" t="s">
        <v>0</v>
      </c>
      <c r="CEH73" s="49">
        <v>0</v>
      </c>
      <c r="CEI73" s="49">
        <v>1</v>
      </c>
      <c r="CEJ73" s="58">
        <v>2.5</v>
      </c>
      <c r="CEK73" s="58">
        <v>5</v>
      </c>
      <c r="CEL73" s="58">
        <v>4</v>
      </c>
      <c r="CEM73" s="49">
        <f>INDEX($T$2:$T$11,MATCH(CEI73,$R$2:$R$11,0))</f>
        <v>0.37</v>
      </c>
      <c r="CEN73" s="49">
        <f t="shared" si="66"/>
        <v>50</v>
      </c>
      <c r="CEO73" s="57">
        <f t="shared" si="67"/>
        <v>18.5</v>
      </c>
      <c r="CEP73" s="59" t="s">
        <v>44</v>
      </c>
      <c r="CEQ73" s="49" t="s">
        <v>44</v>
      </c>
      <c r="CER73" s="51">
        <v>45117</v>
      </c>
      <c r="CES73" s="49"/>
      <c r="CET73" s="49" t="s">
        <v>43</v>
      </c>
      <c r="CEU73" s="49" t="s">
        <v>45</v>
      </c>
      <c r="CEV73" s="49" t="s">
        <v>42</v>
      </c>
      <c r="CEW73" s="49" t="s">
        <v>0</v>
      </c>
      <c r="CEX73" s="49">
        <v>0</v>
      </c>
      <c r="CEY73" s="49">
        <v>1</v>
      </c>
      <c r="CEZ73" s="58">
        <v>2.5</v>
      </c>
      <c r="CFA73" s="58">
        <v>5</v>
      </c>
      <c r="CFB73" s="58">
        <v>4</v>
      </c>
      <c r="CFC73" s="49">
        <f>INDEX($T$2:$T$11,MATCH(CEY73,$R$2:$R$11,0))</f>
        <v>0.37</v>
      </c>
      <c r="CFD73" s="49">
        <f t="shared" ref="CFD73:CGZ73" si="68">CEZ73*CFA73*CFB73</f>
        <v>50</v>
      </c>
      <c r="CFE73" s="57">
        <f t="shared" ref="CFE73:CHA73" si="69">CFC73*CFD73</f>
        <v>18.5</v>
      </c>
      <c r="CFF73" s="59" t="s">
        <v>44</v>
      </c>
      <c r="CFG73" s="49" t="s">
        <v>44</v>
      </c>
      <c r="CFH73" s="51">
        <v>45117</v>
      </c>
      <c r="CFI73" s="49"/>
      <c r="CFJ73" s="49" t="s">
        <v>43</v>
      </c>
      <c r="CFK73" s="49" t="s">
        <v>45</v>
      </c>
      <c r="CFL73" s="49" t="s">
        <v>42</v>
      </c>
      <c r="CFM73" s="49" t="s">
        <v>0</v>
      </c>
      <c r="CFN73" s="49">
        <v>0</v>
      </c>
      <c r="CFO73" s="49">
        <v>1</v>
      </c>
      <c r="CFP73" s="58">
        <v>2.5</v>
      </c>
      <c r="CFQ73" s="58">
        <v>5</v>
      </c>
      <c r="CFR73" s="58">
        <v>4</v>
      </c>
      <c r="CFS73" s="49">
        <f>INDEX($T$2:$T$11,MATCH(CFO73,$R$2:$R$11,0))</f>
        <v>0.37</v>
      </c>
      <c r="CFT73" s="49">
        <f t="shared" si="68"/>
        <v>50</v>
      </c>
      <c r="CFU73" s="57">
        <f t="shared" si="69"/>
        <v>18.5</v>
      </c>
      <c r="CFV73" s="59" t="s">
        <v>44</v>
      </c>
      <c r="CFW73" s="49" t="s">
        <v>44</v>
      </c>
      <c r="CFX73" s="51">
        <v>45117</v>
      </c>
      <c r="CFY73" s="49"/>
      <c r="CFZ73" s="49" t="s">
        <v>43</v>
      </c>
      <c r="CGA73" s="49" t="s">
        <v>45</v>
      </c>
      <c r="CGB73" s="49" t="s">
        <v>42</v>
      </c>
      <c r="CGC73" s="49" t="s">
        <v>0</v>
      </c>
      <c r="CGD73" s="49">
        <v>0</v>
      </c>
      <c r="CGE73" s="49">
        <v>1</v>
      </c>
      <c r="CGF73" s="58">
        <v>2.5</v>
      </c>
      <c r="CGG73" s="58">
        <v>5</v>
      </c>
      <c r="CGH73" s="58">
        <v>4</v>
      </c>
      <c r="CGI73" s="49">
        <f>INDEX($T$2:$T$11,MATCH(CGE73,$R$2:$R$11,0))</f>
        <v>0.37</v>
      </c>
      <c r="CGJ73" s="49">
        <f t="shared" si="68"/>
        <v>50</v>
      </c>
      <c r="CGK73" s="57">
        <f t="shared" si="69"/>
        <v>18.5</v>
      </c>
      <c r="CGL73" s="59" t="s">
        <v>44</v>
      </c>
      <c r="CGM73" s="49" t="s">
        <v>44</v>
      </c>
      <c r="CGN73" s="51">
        <v>45117</v>
      </c>
      <c r="CGO73" s="49"/>
      <c r="CGP73" s="49" t="s">
        <v>43</v>
      </c>
      <c r="CGQ73" s="49" t="s">
        <v>45</v>
      </c>
      <c r="CGR73" s="49" t="s">
        <v>42</v>
      </c>
      <c r="CGS73" s="49" t="s">
        <v>0</v>
      </c>
      <c r="CGT73" s="49">
        <v>0</v>
      </c>
      <c r="CGU73" s="49">
        <v>1</v>
      </c>
      <c r="CGV73" s="58">
        <v>2.5</v>
      </c>
      <c r="CGW73" s="58">
        <v>5</v>
      </c>
      <c r="CGX73" s="58">
        <v>4</v>
      </c>
      <c r="CGY73" s="49">
        <f>INDEX($T$2:$T$11,MATCH(CGU73,$R$2:$R$11,0))</f>
        <v>0.37</v>
      </c>
      <c r="CGZ73" s="49">
        <f t="shared" si="68"/>
        <v>50</v>
      </c>
      <c r="CHA73" s="57">
        <f t="shared" si="69"/>
        <v>18.5</v>
      </c>
      <c r="CHB73" s="59" t="s">
        <v>44</v>
      </c>
      <c r="CHC73" s="49" t="s">
        <v>44</v>
      </c>
      <c r="CHD73" s="51">
        <v>45117</v>
      </c>
      <c r="CHE73" s="49"/>
      <c r="CHF73" s="49" t="s">
        <v>43</v>
      </c>
      <c r="CHG73" s="49" t="s">
        <v>45</v>
      </c>
      <c r="CHH73" s="49" t="s">
        <v>42</v>
      </c>
      <c r="CHI73" s="49" t="s">
        <v>0</v>
      </c>
      <c r="CHJ73" s="49">
        <v>0</v>
      </c>
      <c r="CHK73" s="49">
        <v>1</v>
      </c>
      <c r="CHL73" s="58">
        <v>2.5</v>
      </c>
      <c r="CHM73" s="58">
        <v>5</v>
      </c>
      <c r="CHN73" s="58">
        <v>4</v>
      </c>
      <c r="CHO73" s="49">
        <f>INDEX($T$2:$T$11,MATCH(CHK73,$R$2:$R$11,0))</f>
        <v>0.37</v>
      </c>
      <c r="CHP73" s="49">
        <f t="shared" ref="CHP73:CJL73" si="70">CHL73*CHM73*CHN73</f>
        <v>50</v>
      </c>
      <c r="CHQ73" s="57">
        <f t="shared" ref="CHQ73:CJM73" si="71">CHO73*CHP73</f>
        <v>18.5</v>
      </c>
      <c r="CHR73" s="59" t="s">
        <v>44</v>
      </c>
      <c r="CHS73" s="49" t="s">
        <v>44</v>
      </c>
      <c r="CHT73" s="51">
        <v>45117</v>
      </c>
      <c r="CHU73" s="49"/>
      <c r="CHV73" s="49" t="s">
        <v>43</v>
      </c>
      <c r="CHW73" s="49" t="s">
        <v>45</v>
      </c>
      <c r="CHX73" s="49" t="s">
        <v>42</v>
      </c>
      <c r="CHY73" s="49" t="s">
        <v>0</v>
      </c>
      <c r="CHZ73" s="49">
        <v>0</v>
      </c>
      <c r="CIA73" s="49">
        <v>1</v>
      </c>
      <c r="CIB73" s="58">
        <v>2.5</v>
      </c>
      <c r="CIC73" s="58">
        <v>5</v>
      </c>
      <c r="CID73" s="58">
        <v>4</v>
      </c>
      <c r="CIE73" s="49">
        <f>INDEX($T$2:$T$11,MATCH(CIA73,$R$2:$R$11,0))</f>
        <v>0.37</v>
      </c>
      <c r="CIF73" s="49">
        <f t="shared" si="70"/>
        <v>50</v>
      </c>
      <c r="CIG73" s="57">
        <f t="shared" si="71"/>
        <v>18.5</v>
      </c>
      <c r="CIH73" s="59" t="s">
        <v>44</v>
      </c>
      <c r="CII73" s="49" t="s">
        <v>44</v>
      </c>
      <c r="CIJ73" s="51">
        <v>45117</v>
      </c>
      <c r="CIK73" s="49"/>
      <c r="CIL73" s="49" t="s">
        <v>43</v>
      </c>
      <c r="CIM73" s="49" t="s">
        <v>45</v>
      </c>
      <c r="CIN73" s="49" t="s">
        <v>42</v>
      </c>
      <c r="CIO73" s="49" t="s">
        <v>0</v>
      </c>
      <c r="CIP73" s="49">
        <v>0</v>
      </c>
      <c r="CIQ73" s="49">
        <v>1</v>
      </c>
      <c r="CIR73" s="58">
        <v>2.5</v>
      </c>
      <c r="CIS73" s="58">
        <v>5</v>
      </c>
      <c r="CIT73" s="58">
        <v>4</v>
      </c>
      <c r="CIU73" s="49">
        <f>INDEX($T$2:$T$11,MATCH(CIQ73,$R$2:$R$11,0))</f>
        <v>0.37</v>
      </c>
      <c r="CIV73" s="49">
        <f t="shared" si="70"/>
        <v>50</v>
      </c>
      <c r="CIW73" s="57">
        <f t="shared" si="71"/>
        <v>18.5</v>
      </c>
      <c r="CIX73" s="59" t="s">
        <v>44</v>
      </c>
      <c r="CIY73" s="49" t="s">
        <v>44</v>
      </c>
      <c r="CIZ73" s="51">
        <v>45117</v>
      </c>
      <c r="CJA73" s="49"/>
      <c r="CJB73" s="49" t="s">
        <v>43</v>
      </c>
      <c r="CJC73" s="49" t="s">
        <v>45</v>
      </c>
      <c r="CJD73" s="49" t="s">
        <v>42</v>
      </c>
      <c r="CJE73" s="49" t="s">
        <v>0</v>
      </c>
      <c r="CJF73" s="49">
        <v>0</v>
      </c>
      <c r="CJG73" s="49">
        <v>1</v>
      </c>
      <c r="CJH73" s="58">
        <v>2.5</v>
      </c>
      <c r="CJI73" s="58">
        <v>5</v>
      </c>
      <c r="CJJ73" s="58">
        <v>4</v>
      </c>
      <c r="CJK73" s="49">
        <f>INDEX($T$2:$T$11,MATCH(CJG73,$R$2:$R$11,0))</f>
        <v>0.37</v>
      </c>
      <c r="CJL73" s="49">
        <f t="shared" si="70"/>
        <v>50</v>
      </c>
      <c r="CJM73" s="57">
        <f t="shared" si="71"/>
        <v>18.5</v>
      </c>
      <c r="CJN73" s="59" t="s">
        <v>44</v>
      </c>
      <c r="CJO73" s="49" t="s">
        <v>44</v>
      </c>
      <c r="CJP73" s="51">
        <v>45117</v>
      </c>
      <c r="CJQ73" s="49"/>
      <c r="CJR73" s="49" t="s">
        <v>43</v>
      </c>
      <c r="CJS73" s="49" t="s">
        <v>45</v>
      </c>
      <c r="CJT73" s="49" t="s">
        <v>42</v>
      </c>
      <c r="CJU73" s="49" t="s">
        <v>0</v>
      </c>
      <c r="CJV73" s="49">
        <v>0</v>
      </c>
      <c r="CJW73" s="49">
        <v>1</v>
      </c>
      <c r="CJX73" s="58">
        <v>2.5</v>
      </c>
      <c r="CJY73" s="58">
        <v>5</v>
      </c>
      <c r="CJZ73" s="58">
        <v>4</v>
      </c>
      <c r="CKA73" s="49">
        <f>INDEX($T$2:$T$11,MATCH(CJW73,$R$2:$R$11,0))</f>
        <v>0.37</v>
      </c>
      <c r="CKB73" s="49">
        <f t="shared" ref="CKB73:CLX73" si="72">CJX73*CJY73*CJZ73</f>
        <v>50</v>
      </c>
      <c r="CKC73" s="57">
        <f t="shared" ref="CKC73:CLY73" si="73">CKA73*CKB73</f>
        <v>18.5</v>
      </c>
      <c r="CKD73" s="59" t="s">
        <v>44</v>
      </c>
      <c r="CKE73" s="49" t="s">
        <v>44</v>
      </c>
      <c r="CKF73" s="51">
        <v>45117</v>
      </c>
      <c r="CKG73" s="49"/>
      <c r="CKH73" s="49" t="s">
        <v>43</v>
      </c>
      <c r="CKI73" s="49" t="s">
        <v>45</v>
      </c>
      <c r="CKJ73" s="49" t="s">
        <v>42</v>
      </c>
      <c r="CKK73" s="49" t="s">
        <v>0</v>
      </c>
      <c r="CKL73" s="49">
        <v>0</v>
      </c>
      <c r="CKM73" s="49">
        <v>1</v>
      </c>
      <c r="CKN73" s="58">
        <v>2.5</v>
      </c>
      <c r="CKO73" s="58">
        <v>5</v>
      </c>
      <c r="CKP73" s="58">
        <v>4</v>
      </c>
      <c r="CKQ73" s="49">
        <f>INDEX($T$2:$T$11,MATCH(CKM73,$R$2:$R$11,0))</f>
        <v>0.37</v>
      </c>
      <c r="CKR73" s="49">
        <f t="shared" si="72"/>
        <v>50</v>
      </c>
      <c r="CKS73" s="57">
        <f t="shared" si="73"/>
        <v>18.5</v>
      </c>
      <c r="CKT73" s="59" t="s">
        <v>44</v>
      </c>
      <c r="CKU73" s="49" t="s">
        <v>44</v>
      </c>
      <c r="CKV73" s="51">
        <v>45117</v>
      </c>
      <c r="CKW73" s="49"/>
      <c r="CKX73" s="49" t="s">
        <v>43</v>
      </c>
      <c r="CKY73" s="49" t="s">
        <v>45</v>
      </c>
      <c r="CKZ73" s="49" t="s">
        <v>42</v>
      </c>
      <c r="CLA73" s="49" t="s">
        <v>0</v>
      </c>
      <c r="CLB73" s="49">
        <v>0</v>
      </c>
      <c r="CLC73" s="49">
        <v>1</v>
      </c>
      <c r="CLD73" s="58">
        <v>2.5</v>
      </c>
      <c r="CLE73" s="58">
        <v>5</v>
      </c>
      <c r="CLF73" s="58">
        <v>4</v>
      </c>
      <c r="CLG73" s="49">
        <f>INDEX($T$2:$T$11,MATCH(CLC73,$R$2:$R$11,0))</f>
        <v>0.37</v>
      </c>
      <c r="CLH73" s="49">
        <f t="shared" si="72"/>
        <v>50</v>
      </c>
      <c r="CLI73" s="57">
        <f t="shared" si="73"/>
        <v>18.5</v>
      </c>
      <c r="CLJ73" s="59" t="s">
        <v>44</v>
      </c>
      <c r="CLK73" s="49" t="s">
        <v>44</v>
      </c>
      <c r="CLL73" s="51">
        <v>45117</v>
      </c>
      <c r="CLM73" s="49"/>
      <c r="CLN73" s="49" t="s">
        <v>43</v>
      </c>
      <c r="CLO73" s="49" t="s">
        <v>45</v>
      </c>
      <c r="CLP73" s="49" t="s">
        <v>42</v>
      </c>
      <c r="CLQ73" s="49" t="s">
        <v>0</v>
      </c>
      <c r="CLR73" s="49">
        <v>0</v>
      </c>
      <c r="CLS73" s="49">
        <v>1</v>
      </c>
      <c r="CLT73" s="58">
        <v>2.5</v>
      </c>
      <c r="CLU73" s="58">
        <v>5</v>
      </c>
      <c r="CLV73" s="58">
        <v>4</v>
      </c>
      <c r="CLW73" s="49">
        <f>INDEX($T$2:$T$11,MATCH(CLS73,$R$2:$R$11,0))</f>
        <v>0.37</v>
      </c>
      <c r="CLX73" s="49">
        <f t="shared" si="72"/>
        <v>50</v>
      </c>
      <c r="CLY73" s="57">
        <f t="shared" si="73"/>
        <v>18.5</v>
      </c>
      <c r="CLZ73" s="59" t="s">
        <v>44</v>
      </c>
      <c r="CMA73" s="49" t="s">
        <v>44</v>
      </c>
      <c r="CMB73" s="51">
        <v>45117</v>
      </c>
      <c r="CMC73" s="49"/>
      <c r="CMD73" s="49" t="s">
        <v>43</v>
      </c>
      <c r="CME73" s="49" t="s">
        <v>45</v>
      </c>
      <c r="CMF73" s="49" t="s">
        <v>42</v>
      </c>
      <c r="CMG73" s="49" t="s">
        <v>0</v>
      </c>
      <c r="CMH73" s="49">
        <v>0</v>
      </c>
      <c r="CMI73" s="49">
        <v>1</v>
      </c>
      <c r="CMJ73" s="58">
        <v>2.5</v>
      </c>
      <c r="CMK73" s="58">
        <v>5</v>
      </c>
      <c r="CML73" s="58">
        <v>4</v>
      </c>
      <c r="CMM73" s="49">
        <f>INDEX($T$2:$T$11,MATCH(CMI73,$R$2:$R$11,0))</f>
        <v>0.37</v>
      </c>
      <c r="CMN73" s="49">
        <f t="shared" ref="CMN73:COJ73" si="74">CMJ73*CMK73*CML73</f>
        <v>50</v>
      </c>
      <c r="CMO73" s="57">
        <f t="shared" ref="CMO73:COK73" si="75">CMM73*CMN73</f>
        <v>18.5</v>
      </c>
      <c r="CMP73" s="59" t="s">
        <v>44</v>
      </c>
      <c r="CMQ73" s="49" t="s">
        <v>44</v>
      </c>
      <c r="CMR73" s="51">
        <v>45117</v>
      </c>
      <c r="CMS73" s="49"/>
      <c r="CMT73" s="49" t="s">
        <v>43</v>
      </c>
      <c r="CMU73" s="49" t="s">
        <v>45</v>
      </c>
      <c r="CMV73" s="49" t="s">
        <v>42</v>
      </c>
      <c r="CMW73" s="49" t="s">
        <v>0</v>
      </c>
      <c r="CMX73" s="49">
        <v>0</v>
      </c>
      <c r="CMY73" s="49">
        <v>1</v>
      </c>
      <c r="CMZ73" s="58">
        <v>2.5</v>
      </c>
      <c r="CNA73" s="58">
        <v>5</v>
      </c>
      <c r="CNB73" s="58">
        <v>4</v>
      </c>
      <c r="CNC73" s="49">
        <f>INDEX($T$2:$T$11,MATCH(CMY73,$R$2:$R$11,0))</f>
        <v>0.37</v>
      </c>
      <c r="CND73" s="49">
        <f t="shared" si="74"/>
        <v>50</v>
      </c>
      <c r="CNE73" s="57">
        <f t="shared" si="75"/>
        <v>18.5</v>
      </c>
      <c r="CNF73" s="59" t="s">
        <v>44</v>
      </c>
      <c r="CNG73" s="49" t="s">
        <v>44</v>
      </c>
      <c r="CNH73" s="51">
        <v>45117</v>
      </c>
      <c r="CNI73" s="49"/>
      <c r="CNJ73" s="49" t="s">
        <v>43</v>
      </c>
      <c r="CNK73" s="49" t="s">
        <v>45</v>
      </c>
      <c r="CNL73" s="49" t="s">
        <v>42</v>
      </c>
      <c r="CNM73" s="49" t="s">
        <v>0</v>
      </c>
      <c r="CNN73" s="49">
        <v>0</v>
      </c>
      <c r="CNO73" s="49">
        <v>1</v>
      </c>
      <c r="CNP73" s="58">
        <v>2.5</v>
      </c>
      <c r="CNQ73" s="58">
        <v>5</v>
      </c>
      <c r="CNR73" s="58">
        <v>4</v>
      </c>
      <c r="CNS73" s="49">
        <f>INDEX($T$2:$T$11,MATCH(CNO73,$R$2:$R$11,0))</f>
        <v>0.37</v>
      </c>
      <c r="CNT73" s="49">
        <f t="shared" si="74"/>
        <v>50</v>
      </c>
      <c r="CNU73" s="57">
        <f t="shared" si="75"/>
        <v>18.5</v>
      </c>
      <c r="CNV73" s="59" t="s">
        <v>44</v>
      </c>
      <c r="CNW73" s="49" t="s">
        <v>44</v>
      </c>
      <c r="CNX73" s="51">
        <v>45117</v>
      </c>
      <c r="CNY73" s="49"/>
      <c r="CNZ73" s="49" t="s">
        <v>43</v>
      </c>
      <c r="COA73" s="49" t="s">
        <v>45</v>
      </c>
      <c r="COB73" s="49" t="s">
        <v>42</v>
      </c>
      <c r="COC73" s="49" t="s">
        <v>0</v>
      </c>
      <c r="COD73" s="49">
        <v>0</v>
      </c>
      <c r="COE73" s="49">
        <v>1</v>
      </c>
      <c r="COF73" s="58">
        <v>2.5</v>
      </c>
      <c r="COG73" s="58">
        <v>5</v>
      </c>
      <c r="COH73" s="58">
        <v>4</v>
      </c>
      <c r="COI73" s="49">
        <f>INDEX($T$2:$T$11,MATCH(COE73,$R$2:$R$11,0))</f>
        <v>0.37</v>
      </c>
      <c r="COJ73" s="49">
        <f t="shared" si="74"/>
        <v>50</v>
      </c>
      <c r="COK73" s="57">
        <f t="shared" si="75"/>
        <v>18.5</v>
      </c>
      <c r="COL73" s="59" t="s">
        <v>44</v>
      </c>
      <c r="COM73" s="49" t="s">
        <v>44</v>
      </c>
      <c r="CON73" s="51">
        <v>45117</v>
      </c>
      <c r="COO73" s="49"/>
      <c r="COP73" s="49" t="s">
        <v>43</v>
      </c>
      <c r="COQ73" s="49" t="s">
        <v>45</v>
      </c>
      <c r="COR73" s="49" t="s">
        <v>42</v>
      </c>
      <c r="COS73" s="49" t="s">
        <v>0</v>
      </c>
      <c r="COT73" s="49">
        <v>0</v>
      </c>
      <c r="COU73" s="49">
        <v>1</v>
      </c>
      <c r="COV73" s="58">
        <v>2.5</v>
      </c>
      <c r="COW73" s="58">
        <v>5</v>
      </c>
      <c r="COX73" s="58">
        <v>4</v>
      </c>
      <c r="COY73" s="49">
        <f>INDEX($T$2:$T$11,MATCH(COU73,$R$2:$R$11,0))</f>
        <v>0.37</v>
      </c>
      <c r="COZ73" s="49">
        <f t="shared" ref="COZ73:CQV73" si="76">COV73*COW73*COX73</f>
        <v>50</v>
      </c>
      <c r="CPA73" s="57">
        <f t="shared" ref="CPA73:CQW73" si="77">COY73*COZ73</f>
        <v>18.5</v>
      </c>
      <c r="CPB73" s="59" t="s">
        <v>44</v>
      </c>
      <c r="CPC73" s="49" t="s">
        <v>44</v>
      </c>
      <c r="CPD73" s="51">
        <v>45117</v>
      </c>
      <c r="CPE73" s="49"/>
      <c r="CPF73" s="49" t="s">
        <v>43</v>
      </c>
      <c r="CPG73" s="49" t="s">
        <v>45</v>
      </c>
      <c r="CPH73" s="49" t="s">
        <v>42</v>
      </c>
      <c r="CPI73" s="49" t="s">
        <v>0</v>
      </c>
      <c r="CPJ73" s="49">
        <v>0</v>
      </c>
      <c r="CPK73" s="49">
        <v>1</v>
      </c>
      <c r="CPL73" s="58">
        <v>2.5</v>
      </c>
      <c r="CPM73" s="58">
        <v>5</v>
      </c>
      <c r="CPN73" s="58">
        <v>4</v>
      </c>
      <c r="CPO73" s="49">
        <f>INDEX($T$2:$T$11,MATCH(CPK73,$R$2:$R$11,0))</f>
        <v>0.37</v>
      </c>
      <c r="CPP73" s="49">
        <f t="shared" si="76"/>
        <v>50</v>
      </c>
      <c r="CPQ73" s="57">
        <f t="shared" si="77"/>
        <v>18.5</v>
      </c>
      <c r="CPR73" s="59" t="s">
        <v>44</v>
      </c>
      <c r="CPS73" s="49" t="s">
        <v>44</v>
      </c>
      <c r="CPT73" s="51">
        <v>45117</v>
      </c>
      <c r="CPU73" s="49"/>
      <c r="CPV73" s="49" t="s">
        <v>43</v>
      </c>
      <c r="CPW73" s="49" t="s">
        <v>45</v>
      </c>
      <c r="CPX73" s="49" t="s">
        <v>42</v>
      </c>
      <c r="CPY73" s="49" t="s">
        <v>0</v>
      </c>
      <c r="CPZ73" s="49">
        <v>0</v>
      </c>
      <c r="CQA73" s="49">
        <v>1</v>
      </c>
      <c r="CQB73" s="58">
        <v>2.5</v>
      </c>
      <c r="CQC73" s="58">
        <v>5</v>
      </c>
      <c r="CQD73" s="58">
        <v>4</v>
      </c>
      <c r="CQE73" s="49">
        <f>INDEX($T$2:$T$11,MATCH(CQA73,$R$2:$R$11,0))</f>
        <v>0.37</v>
      </c>
      <c r="CQF73" s="49">
        <f t="shared" si="76"/>
        <v>50</v>
      </c>
      <c r="CQG73" s="57">
        <f t="shared" si="77"/>
        <v>18.5</v>
      </c>
      <c r="CQH73" s="59" t="s">
        <v>44</v>
      </c>
      <c r="CQI73" s="49" t="s">
        <v>44</v>
      </c>
      <c r="CQJ73" s="51">
        <v>45117</v>
      </c>
      <c r="CQK73" s="49"/>
      <c r="CQL73" s="49" t="s">
        <v>43</v>
      </c>
      <c r="CQM73" s="49" t="s">
        <v>45</v>
      </c>
      <c r="CQN73" s="49" t="s">
        <v>42</v>
      </c>
      <c r="CQO73" s="49" t="s">
        <v>0</v>
      </c>
      <c r="CQP73" s="49">
        <v>0</v>
      </c>
      <c r="CQQ73" s="49">
        <v>1</v>
      </c>
      <c r="CQR73" s="58">
        <v>2.5</v>
      </c>
      <c r="CQS73" s="58">
        <v>5</v>
      </c>
      <c r="CQT73" s="58">
        <v>4</v>
      </c>
      <c r="CQU73" s="49">
        <f>INDEX($T$2:$T$11,MATCH(CQQ73,$R$2:$R$11,0))</f>
        <v>0.37</v>
      </c>
      <c r="CQV73" s="49">
        <f t="shared" si="76"/>
        <v>50</v>
      </c>
      <c r="CQW73" s="57">
        <f t="shared" si="77"/>
        <v>18.5</v>
      </c>
      <c r="CQX73" s="59" t="s">
        <v>44</v>
      </c>
      <c r="CQY73" s="49" t="s">
        <v>44</v>
      </c>
      <c r="CQZ73" s="51">
        <v>45117</v>
      </c>
      <c r="CRA73" s="49"/>
      <c r="CRB73" s="49" t="s">
        <v>43</v>
      </c>
      <c r="CRC73" s="49" t="s">
        <v>45</v>
      </c>
      <c r="CRD73" s="49" t="s">
        <v>42</v>
      </c>
      <c r="CRE73" s="49" t="s">
        <v>0</v>
      </c>
      <c r="CRF73" s="49">
        <v>0</v>
      </c>
      <c r="CRG73" s="49">
        <v>1</v>
      </c>
      <c r="CRH73" s="58">
        <v>2.5</v>
      </c>
      <c r="CRI73" s="58">
        <v>5</v>
      </c>
      <c r="CRJ73" s="58">
        <v>4</v>
      </c>
      <c r="CRK73" s="49">
        <f>INDEX($T$2:$T$11,MATCH(CRG73,$R$2:$R$11,0))</f>
        <v>0.37</v>
      </c>
      <c r="CRL73" s="49">
        <f t="shared" ref="CRL73:CTH73" si="78">CRH73*CRI73*CRJ73</f>
        <v>50</v>
      </c>
      <c r="CRM73" s="57">
        <f t="shared" ref="CRM73:CTI73" si="79">CRK73*CRL73</f>
        <v>18.5</v>
      </c>
      <c r="CRN73" s="59" t="s">
        <v>44</v>
      </c>
      <c r="CRO73" s="49" t="s">
        <v>44</v>
      </c>
      <c r="CRP73" s="51">
        <v>45117</v>
      </c>
      <c r="CRQ73" s="49"/>
      <c r="CRR73" s="49" t="s">
        <v>43</v>
      </c>
      <c r="CRS73" s="49" t="s">
        <v>45</v>
      </c>
      <c r="CRT73" s="49" t="s">
        <v>42</v>
      </c>
      <c r="CRU73" s="49" t="s">
        <v>0</v>
      </c>
      <c r="CRV73" s="49">
        <v>0</v>
      </c>
      <c r="CRW73" s="49">
        <v>1</v>
      </c>
      <c r="CRX73" s="58">
        <v>2.5</v>
      </c>
      <c r="CRY73" s="58">
        <v>5</v>
      </c>
      <c r="CRZ73" s="58">
        <v>4</v>
      </c>
      <c r="CSA73" s="49">
        <f>INDEX($T$2:$T$11,MATCH(CRW73,$R$2:$R$11,0))</f>
        <v>0.37</v>
      </c>
      <c r="CSB73" s="49">
        <f t="shared" si="78"/>
        <v>50</v>
      </c>
      <c r="CSC73" s="57">
        <f t="shared" si="79"/>
        <v>18.5</v>
      </c>
      <c r="CSD73" s="59" t="s">
        <v>44</v>
      </c>
      <c r="CSE73" s="49" t="s">
        <v>44</v>
      </c>
      <c r="CSF73" s="51">
        <v>45117</v>
      </c>
      <c r="CSG73" s="49"/>
      <c r="CSH73" s="49" t="s">
        <v>43</v>
      </c>
      <c r="CSI73" s="49" t="s">
        <v>45</v>
      </c>
      <c r="CSJ73" s="49" t="s">
        <v>42</v>
      </c>
      <c r="CSK73" s="49" t="s">
        <v>0</v>
      </c>
      <c r="CSL73" s="49">
        <v>0</v>
      </c>
      <c r="CSM73" s="49">
        <v>1</v>
      </c>
      <c r="CSN73" s="58">
        <v>2.5</v>
      </c>
      <c r="CSO73" s="58">
        <v>5</v>
      </c>
      <c r="CSP73" s="58">
        <v>4</v>
      </c>
      <c r="CSQ73" s="49">
        <f>INDEX($T$2:$T$11,MATCH(CSM73,$R$2:$R$11,0))</f>
        <v>0.37</v>
      </c>
      <c r="CSR73" s="49">
        <f t="shared" si="78"/>
        <v>50</v>
      </c>
      <c r="CSS73" s="57">
        <f t="shared" si="79"/>
        <v>18.5</v>
      </c>
      <c r="CST73" s="59" t="s">
        <v>44</v>
      </c>
      <c r="CSU73" s="49" t="s">
        <v>44</v>
      </c>
      <c r="CSV73" s="51">
        <v>45117</v>
      </c>
      <c r="CSW73" s="49"/>
      <c r="CSX73" s="49" t="s">
        <v>43</v>
      </c>
      <c r="CSY73" s="49" t="s">
        <v>45</v>
      </c>
      <c r="CSZ73" s="49" t="s">
        <v>42</v>
      </c>
      <c r="CTA73" s="49" t="s">
        <v>0</v>
      </c>
      <c r="CTB73" s="49">
        <v>0</v>
      </c>
      <c r="CTC73" s="49">
        <v>1</v>
      </c>
      <c r="CTD73" s="58">
        <v>2.5</v>
      </c>
      <c r="CTE73" s="58">
        <v>5</v>
      </c>
      <c r="CTF73" s="58">
        <v>4</v>
      </c>
      <c r="CTG73" s="49">
        <f>INDEX($T$2:$T$11,MATCH(CTC73,$R$2:$R$11,0))</f>
        <v>0.37</v>
      </c>
      <c r="CTH73" s="49">
        <f t="shared" si="78"/>
        <v>50</v>
      </c>
      <c r="CTI73" s="57">
        <f t="shared" si="79"/>
        <v>18.5</v>
      </c>
      <c r="CTJ73" s="59" t="s">
        <v>44</v>
      </c>
      <c r="CTK73" s="49" t="s">
        <v>44</v>
      </c>
      <c r="CTL73" s="51">
        <v>45117</v>
      </c>
      <c r="CTM73" s="49"/>
      <c r="CTN73" s="49" t="s">
        <v>43</v>
      </c>
      <c r="CTO73" s="49" t="s">
        <v>45</v>
      </c>
      <c r="CTP73" s="49" t="s">
        <v>42</v>
      </c>
      <c r="CTQ73" s="49" t="s">
        <v>0</v>
      </c>
      <c r="CTR73" s="49">
        <v>0</v>
      </c>
      <c r="CTS73" s="49">
        <v>1</v>
      </c>
      <c r="CTT73" s="58">
        <v>2.5</v>
      </c>
      <c r="CTU73" s="58">
        <v>5</v>
      </c>
      <c r="CTV73" s="58">
        <v>4</v>
      </c>
      <c r="CTW73" s="49">
        <f>INDEX($T$2:$T$11,MATCH(CTS73,$R$2:$R$11,0))</f>
        <v>0.37</v>
      </c>
      <c r="CTX73" s="49">
        <f t="shared" ref="CTX73:CVT73" si="80">CTT73*CTU73*CTV73</f>
        <v>50</v>
      </c>
      <c r="CTY73" s="57">
        <f t="shared" ref="CTY73:CVU73" si="81">CTW73*CTX73</f>
        <v>18.5</v>
      </c>
      <c r="CTZ73" s="59" t="s">
        <v>44</v>
      </c>
      <c r="CUA73" s="49" t="s">
        <v>44</v>
      </c>
      <c r="CUB73" s="51">
        <v>45117</v>
      </c>
      <c r="CUC73" s="49"/>
      <c r="CUD73" s="49" t="s">
        <v>43</v>
      </c>
      <c r="CUE73" s="49" t="s">
        <v>45</v>
      </c>
      <c r="CUF73" s="49" t="s">
        <v>42</v>
      </c>
      <c r="CUG73" s="49" t="s">
        <v>0</v>
      </c>
      <c r="CUH73" s="49">
        <v>0</v>
      </c>
      <c r="CUI73" s="49">
        <v>1</v>
      </c>
      <c r="CUJ73" s="58">
        <v>2.5</v>
      </c>
      <c r="CUK73" s="58">
        <v>5</v>
      </c>
      <c r="CUL73" s="58">
        <v>4</v>
      </c>
      <c r="CUM73" s="49">
        <f>INDEX($T$2:$T$11,MATCH(CUI73,$R$2:$R$11,0))</f>
        <v>0.37</v>
      </c>
      <c r="CUN73" s="49">
        <f t="shared" si="80"/>
        <v>50</v>
      </c>
      <c r="CUO73" s="57">
        <f t="shared" si="81"/>
        <v>18.5</v>
      </c>
      <c r="CUP73" s="59" t="s">
        <v>44</v>
      </c>
      <c r="CUQ73" s="49" t="s">
        <v>44</v>
      </c>
      <c r="CUR73" s="51">
        <v>45117</v>
      </c>
      <c r="CUS73" s="49"/>
      <c r="CUT73" s="49" t="s">
        <v>43</v>
      </c>
      <c r="CUU73" s="49" t="s">
        <v>45</v>
      </c>
      <c r="CUV73" s="49" t="s">
        <v>42</v>
      </c>
      <c r="CUW73" s="49" t="s">
        <v>0</v>
      </c>
      <c r="CUX73" s="49">
        <v>0</v>
      </c>
      <c r="CUY73" s="49">
        <v>1</v>
      </c>
      <c r="CUZ73" s="58">
        <v>2.5</v>
      </c>
      <c r="CVA73" s="58">
        <v>5</v>
      </c>
      <c r="CVB73" s="58">
        <v>4</v>
      </c>
      <c r="CVC73" s="49">
        <f>INDEX($T$2:$T$11,MATCH(CUY73,$R$2:$R$11,0))</f>
        <v>0.37</v>
      </c>
      <c r="CVD73" s="49">
        <f t="shared" si="80"/>
        <v>50</v>
      </c>
      <c r="CVE73" s="57">
        <f t="shared" si="81"/>
        <v>18.5</v>
      </c>
      <c r="CVF73" s="59" t="s">
        <v>44</v>
      </c>
      <c r="CVG73" s="49" t="s">
        <v>44</v>
      </c>
      <c r="CVH73" s="51">
        <v>45117</v>
      </c>
      <c r="CVI73" s="49"/>
      <c r="CVJ73" s="49" t="s">
        <v>43</v>
      </c>
      <c r="CVK73" s="49" t="s">
        <v>45</v>
      </c>
      <c r="CVL73" s="49" t="s">
        <v>42</v>
      </c>
      <c r="CVM73" s="49" t="s">
        <v>0</v>
      </c>
      <c r="CVN73" s="49">
        <v>0</v>
      </c>
      <c r="CVO73" s="49">
        <v>1</v>
      </c>
      <c r="CVP73" s="58">
        <v>2.5</v>
      </c>
      <c r="CVQ73" s="58">
        <v>5</v>
      </c>
      <c r="CVR73" s="58">
        <v>4</v>
      </c>
      <c r="CVS73" s="49">
        <f>INDEX($T$2:$T$11,MATCH(CVO73,$R$2:$R$11,0))</f>
        <v>0.37</v>
      </c>
      <c r="CVT73" s="49">
        <f t="shared" si="80"/>
        <v>50</v>
      </c>
      <c r="CVU73" s="57">
        <f t="shared" si="81"/>
        <v>18.5</v>
      </c>
      <c r="CVV73" s="59" t="s">
        <v>44</v>
      </c>
      <c r="CVW73" s="49" t="s">
        <v>44</v>
      </c>
      <c r="CVX73" s="51">
        <v>45117</v>
      </c>
      <c r="CVY73" s="49"/>
      <c r="CVZ73" s="49" t="s">
        <v>43</v>
      </c>
      <c r="CWA73" s="49" t="s">
        <v>45</v>
      </c>
      <c r="CWB73" s="49" t="s">
        <v>42</v>
      </c>
      <c r="CWC73" s="49" t="s">
        <v>0</v>
      </c>
      <c r="CWD73" s="49">
        <v>0</v>
      </c>
      <c r="CWE73" s="49">
        <v>1</v>
      </c>
      <c r="CWF73" s="58">
        <v>2.5</v>
      </c>
      <c r="CWG73" s="58">
        <v>5</v>
      </c>
      <c r="CWH73" s="58">
        <v>4</v>
      </c>
      <c r="CWI73" s="49">
        <f>INDEX($T$2:$T$11,MATCH(CWE73,$R$2:$R$11,0))</f>
        <v>0.37</v>
      </c>
      <c r="CWJ73" s="49">
        <f t="shared" ref="CWJ73:CYF73" si="82">CWF73*CWG73*CWH73</f>
        <v>50</v>
      </c>
      <c r="CWK73" s="57">
        <f t="shared" ref="CWK73:CYG73" si="83">CWI73*CWJ73</f>
        <v>18.5</v>
      </c>
      <c r="CWL73" s="59" t="s">
        <v>44</v>
      </c>
      <c r="CWM73" s="49" t="s">
        <v>44</v>
      </c>
      <c r="CWN73" s="51">
        <v>45117</v>
      </c>
      <c r="CWO73" s="49"/>
      <c r="CWP73" s="49" t="s">
        <v>43</v>
      </c>
      <c r="CWQ73" s="49" t="s">
        <v>45</v>
      </c>
      <c r="CWR73" s="49" t="s">
        <v>42</v>
      </c>
      <c r="CWS73" s="49" t="s">
        <v>0</v>
      </c>
      <c r="CWT73" s="49">
        <v>0</v>
      </c>
      <c r="CWU73" s="49">
        <v>1</v>
      </c>
      <c r="CWV73" s="58">
        <v>2.5</v>
      </c>
      <c r="CWW73" s="58">
        <v>5</v>
      </c>
      <c r="CWX73" s="58">
        <v>4</v>
      </c>
      <c r="CWY73" s="49">
        <f>INDEX($T$2:$T$11,MATCH(CWU73,$R$2:$R$11,0))</f>
        <v>0.37</v>
      </c>
      <c r="CWZ73" s="49">
        <f t="shared" si="82"/>
        <v>50</v>
      </c>
      <c r="CXA73" s="57">
        <f t="shared" si="83"/>
        <v>18.5</v>
      </c>
      <c r="CXB73" s="59" t="s">
        <v>44</v>
      </c>
      <c r="CXC73" s="49" t="s">
        <v>44</v>
      </c>
      <c r="CXD73" s="51">
        <v>45117</v>
      </c>
      <c r="CXE73" s="49"/>
      <c r="CXF73" s="49" t="s">
        <v>43</v>
      </c>
      <c r="CXG73" s="49" t="s">
        <v>45</v>
      </c>
      <c r="CXH73" s="49" t="s">
        <v>42</v>
      </c>
      <c r="CXI73" s="49" t="s">
        <v>0</v>
      </c>
      <c r="CXJ73" s="49">
        <v>0</v>
      </c>
      <c r="CXK73" s="49">
        <v>1</v>
      </c>
      <c r="CXL73" s="58">
        <v>2.5</v>
      </c>
      <c r="CXM73" s="58">
        <v>5</v>
      </c>
      <c r="CXN73" s="58">
        <v>4</v>
      </c>
      <c r="CXO73" s="49">
        <f>INDEX($T$2:$T$11,MATCH(CXK73,$R$2:$R$11,0))</f>
        <v>0.37</v>
      </c>
      <c r="CXP73" s="49">
        <f t="shared" si="82"/>
        <v>50</v>
      </c>
      <c r="CXQ73" s="57">
        <f t="shared" si="83"/>
        <v>18.5</v>
      </c>
      <c r="CXR73" s="59" t="s">
        <v>44</v>
      </c>
      <c r="CXS73" s="49" t="s">
        <v>44</v>
      </c>
      <c r="CXT73" s="51">
        <v>45117</v>
      </c>
      <c r="CXU73" s="49"/>
      <c r="CXV73" s="49" t="s">
        <v>43</v>
      </c>
      <c r="CXW73" s="49" t="s">
        <v>45</v>
      </c>
      <c r="CXX73" s="49" t="s">
        <v>42</v>
      </c>
      <c r="CXY73" s="49" t="s">
        <v>0</v>
      </c>
      <c r="CXZ73" s="49">
        <v>0</v>
      </c>
      <c r="CYA73" s="49">
        <v>1</v>
      </c>
      <c r="CYB73" s="58">
        <v>2.5</v>
      </c>
      <c r="CYC73" s="58">
        <v>5</v>
      </c>
      <c r="CYD73" s="58">
        <v>4</v>
      </c>
      <c r="CYE73" s="49">
        <f>INDEX($T$2:$T$11,MATCH(CYA73,$R$2:$R$11,0))</f>
        <v>0.37</v>
      </c>
      <c r="CYF73" s="49">
        <f t="shared" si="82"/>
        <v>50</v>
      </c>
      <c r="CYG73" s="57">
        <f t="shared" si="83"/>
        <v>18.5</v>
      </c>
      <c r="CYH73" s="59" t="s">
        <v>44</v>
      </c>
      <c r="CYI73" s="49" t="s">
        <v>44</v>
      </c>
      <c r="CYJ73" s="51">
        <v>45117</v>
      </c>
      <c r="CYK73" s="49"/>
      <c r="CYL73" s="49" t="s">
        <v>43</v>
      </c>
      <c r="CYM73" s="49" t="s">
        <v>45</v>
      </c>
      <c r="CYN73" s="49" t="s">
        <v>42</v>
      </c>
      <c r="CYO73" s="49" t="s">
        <v>0</v>
      </c>
      <c r="CYP73" s="49">
        <v>0</v>
      </c>
      <c r="CYQ73" s="49">
        <v>1</v>
      </c>
      <c r="CYR73" s="58">
        <v>2.5</v>
      </c>
      <c r="CYS73" s="58">
        <v>5</v>
      </c>
      <c r="CYT73" s="58">
        <v>4</v>
      </c>
      <c r="CYU73" s="49">
        <f>INDEX($T$2:$T$11,MATCH(CYQ73,$R$2:$R$11,0))</f>
        <v>0.37</v>
      </c>
      <c r="CYV73" s="49">
        <f t="shared" ref="CYV73:DAR73" si="84">CYR73*CYS73*CYT73</f>
        <v>50</v>
      </c>
      <c r="CYW73" s="57">
        <f t="shared" ref="CYW73:DAS73" si="85">CYU73*CYV73</f>
        <v>18.5</v>
      </c>
      <c r="CYX73" s="59" t="s">
        <v>44</v>
      </c>
      <c r="CYY73" s="49" t="s">
        <v>44</v>
      </c>
      <c r="CYZ73" s="51">
        <v>45117</v>
      </c>
      <c r="CZA73" s="49"/>
      <c r="CZB73" s="49" t="s">
        <v>43</v>
      </c>
      <c r="CZC73" s="49" t="s">
        <v>45</v>
      </c>
      <c r="CZD73" s="49" t="s">
        <v>42</v>
      </c>
      <c r="CZE73" s="49" t="s">
        <v>0</v>
      </c>
      <c r="CZF73" s="49">
        <v>0</v>
      </c>
      <c r="CZG73" s="49">
        <v>1</v>
      </c>
      <c r="CZH73" s="58">
        <v>2.5</v>
      </c>
      <c r="CZI73" s="58">
        <v>5</v>
      </c>
      <c r="CZJ73" s="58">
        <v>4</v>
      </c>
      <c r="CZK73" s="49">
        <f>INDEX($T$2:$T$11,MATCH(CZG73,$R$2:$R$11,0))</f>
        <v>0.37</v>
      </c>
      <c r="CZL73" s="49">
        <f t="shared" si="84"/>
        <v>50</v>
      </c>
      <c r="CZM73" s="57">
        <f t="shared" si="85"/>
        <v>18.5</v>
      </c>
      <c r="CZN73" s="59" t="s">
        <v>44</v>
      </c>
      <c r="CZO73" s="49" t="s">
        <v>44</v>
      </c>
      <c r="CZP73" s="51">
        <v>45117</v>
      </c>
      <c r="CZQ73" s="49"/>
      <c r="CZR73" s="49" t="s">
        <v>43</v>
      </c>
      <c r="CZS73" s="49" t="s">
        <v>45</v>
      </c>
      <c r="CZT73" s="49" t="s">
        <v>42</v>
      </c>
      <c r="CZU73" s="49" t="s">
        <v>0</v>
      </c>
      <c r="CZV73" s="49">
        <v>0</v>
      </c>
      <c r="CZW73" s="49">
        <v>1</v>
      </c>
      <c r="CZX73" s="58">
        <v>2.5</v>
      </c>
      <c r="CZY73" s="58">
        <v>5</v>
      </c>
      <c r="CZZ73" s="58">
        <v>4</v>
      </c>
      <c r="DAA73" s="49">
        <f>INDEX($T$2:$T$11,MATCH(CZW73,$R$2:$R$11,0))</f>
        <v>0.37</v>
      </c>
      <c r="DAB73" s="49">
        <f t="shared" si="84"/>
        <v>50</v>
      </c>
      <c r="DAC73" s="57">
        <f t="shared" si="85"/>
        <v>18.5</v>
      </c>
      <c r="DAD73" s="59" t="s">
        <v>44</v>
      </c>
      <c r="DAE73" s="49" t="s">
        <v>44</v>
      </c>
      <c r="DAF73" s="51">
        <v>45117</v>
      </c>
      <c r="DAG73" s="49"/>
      <c r="DAH73" s="49" t="s">
        <v>43</v>
      </c>
      <c r="DAI73" s="49" t="s">
        <v>45</v>
      </c>
      <c r="DAJ73" s="49" t="s">
        <v>42</v>
      </c>
      <c r="DAK73" s="49" t="s">
        <v>0</v>
      </c>
      <c r="DAL73" s="49">
        <v>0</v>
      </c>
      <c r="DAM73" s="49">
        <v>1</v>
      </c>
      <c r="DAN73" s="58">
        <v>2.5</v>
      </c>
      <c r="DAO73" s="58">
        <v>5</v>
      </c>
      <c r="DAP73" s="58">
        <v>4</v>
      </c>
      <c r="DAQ73" s="49">
        <f>INDEX($T$2:$T$11,MATCH(DAM73,$R$2:$R$11,0))</f>
        <v>0.37</v>
      </c>
      <c r="DAR73" s="49">
        <f t="shared" si="84"/>
        <v>50</v>
      </c>
      <c r="DAS73" s="57">
        <f t="shared" si="85"/>
        <v>18.5</v>
      </c>
      <c r="DAT73" s="59" t="s">
        <v>44</v>
      </c>
      <c r="DAU73" s="49" t="s">
        <v>44</v>
      </c>
      <c r="DAV73" s="51">
        <v>45117</v>
      </c>
      <c r="DAW73" s="49"/>
      <c r="DAX73" s="49" t="s">
        <v>43</v>
      </c>
      <c r="DAY73" s="49" t="s">
        <v>45</v>
      </c>
      <c r="DAZ73" s="49" t="s">
        <v>42</v>
      </c>
      <c r="DBA73" s="49" t="s">
        <v>0</v>
      </c>
      <c r="DBB73" s="49">
        <v>0</v>
      </c>
      <c r="DBC73" s="49">
        <v>1</v>
      </c>
      <c r="DBD73" s="58">
        <v>2.5</v>
      </c>
      <c r="DBE73" s="58">
        <v>5</v>
      </c>
      <c r="DBF73" s="58">
        <v>4</v>
      </c>
      <c r="DBG73" s="49">
        <f>INDEX($T$2:$T$11,MATCH(DBC73,$R$2:$R$11,0))</f>
        <v>0.37</v>
      </c>
      <c r="DBH73" s="49">
        <f t="shared" ref="DBH73:DDD73" si="86">DBD73*DBE73*DBF73</f>
        <v>50</v>
      </c>
      <c r="DBI73" s="57">
        <f t="shared" ref="DBI73:DDE73" si="87">DBG73*DBH73</f>
        <v>18.5</v>
      </c>
      <c r="DBJ73" s="59" t="s">
        <v>44</v>
      </c>
      <c r="DBK73" s="49" t="s">
        <v>44</v>
      </c>
      <c r="DBL73" s="51">
        <v>45117</v>
      </c>
      <c r="DBM73" s="49"/>
      <c r="DBN73" s="49" t="s">
        <v>43</v>
      </c>
      <c r="DBO73" s="49" t="s">
        <v>45</v>
      </c>
      <c r="DBP73" s="49" t="s">
        <v>42</v>
      </c>
      <c r="DBQ73" s="49" t="s">
        <v>0</v>
      </c>
      <c r="DBR73" s="49">
        <v>0</v>
      </c>
      <c r="DBS73" s="49">
        <v>1</v>
      </c>
      <c r="DBT73" s="58">
        <v>2.5</v>
      </c>
      <c r="DBU73" s="58">
        <v>5</v>
      </c>
      <c r="DBV73" s="58">
        <v>4</v>
      </c>
      <c r="DBW73" s="49">
        <f>INDEX($T$2:$T$11,MATCH(DBS73,$R$2:$R$11,0))</f>
        <v>0.37</v>
      </c>
      <c r="DBX73" s="49">
        <f t="shared" si="86"/>
        <v>50</v>
      </c>
      <c r="DBY73" s="57">
        <f t="shared" si="87"/>
        <v>18.5</v>
      </c>
      <c r="DBZ73" s="59" t="s">
        <v>44</v>
      </c>
      <c r="DCA73" s="49" t="s">
        <v>44</v>
      </c>
      <c r="DCB73" s="51">
        <v>45117</v>
      </c>
      <c r="DCC73" s="49"/>
      <c r="DCD73" s="49" t="s">
        <v>43</v>
      </c>
      <c r="DCE73" s="49" t="s">
        <v>45</v>
      </c>
      <c r="DCF73" s="49" t="s">
        <v>42</v>
      </c>
      <c r="DCG73" s="49" t="s">
        <v>0</v>
      </c>
      <c r="DCH73" s="49">
        <v>0</v>
      </c>
      <c r="DCI73" s="49">
        <v>1</v>
      </c>
      <c r="DCJ73" s="58">
        <v>2.5</v>
      </c>
      <c r="DCK73" s="58">
        <v>5</v>
      </c>
      <c r="DCL73" s="58">
        <v>4</v>
      </c>
      <c r="DCM73" s="49">
        <f>INDEX($T$2:$T$11,MATCH(DCI73,$R$2:$R$11,0))</f>
        <v>0.37</v>
      </c>
      <c r="DCN73" s="49">
        <f t="shared" si="86"/>
        <v>50</v>
      </c>
      <c r="DCO73" s="57">
        <f t="shared" si="87"/>
        <v>18.5</v>
      </c>
      <c r="DCP73" s="59" t="s">
        <v>44</v>
      </c>
      <c r="DCQ73" s="49" t="s">
        <v>44</v>
      </c>
      <c r="DCR73" s="51">
        <v>45117</v>
      </c>
      <c r="DCS73" s="49"/>
      <c r="DCT73" s="49" t="s">
        <v>43</v>
      </c>
      <c r="DCU73" s="49" t="s">
        <v>45</v>
      </c>
      <c r="DCV73" s="49" t="s">
        <v>42</v>
      </c>
      <c r="DCW73" s="49" t="s">
        <v>0</v>
      </c>
      <c r="DCX73" s="49">
        <v>0</v>
      </c>
      <c r="DCY73" s="49">
        <v>1</v>
      </c>
      <c r="DCZ73" s="58">
        <v>2.5</v>
      </c>
      <c r="DDA73" s="58">
        <v>5</v>
      </c>
      <c r="DDB73" s="58">
        <v>4</v>
      </c>
      <c r="DDC73" s="49">
        <f>INDEX($T$2:$T$11,MATCH(DCY73,$R$2:$R$11,0))</f>
        <v>0.37</v>
      </c>
      <c r="DDD73" s="49">
        <f t="shared" si="86"/>
        <v>50</v>
      </c>
      <c r="DDE73" s="57">
        <f t="shared" si="87"/>
        <v>18.5</v>
      </c>
      <c r="DDF73" s="59" t="s">
        <v>44</v>
      </c>
      <c r="DDG73" s="49" t="s">
        <v>44</v>
      </c>
      <c r="DDH73" s="51">
        <v>45117</v>
      </c>
      <c r="DDI73" s="49"/>
      <c r="DDJ73" s="49" t="s">
        <v>43</v>
      </c>
      <c r="DDK73" s="49" t="s">
        <v>45</v>
      </c>
      <c r="DDL73" s="49" t="s">
        <v>42</v>
      </c>
      <c r="DDM73" s="49" t="s">
        <v>0</v>
      </c>
      <c r="DDN73" s="49">
        <v>0</v>
      </c>
      <c r="DDO73" s="49">
        <v>1</v>
      </c>
      <c r="DDP73" s="58">
        <v>2.5</v>
      </c>
      <c r="DDQ73" s="58">
        <v>5</v>
      </c>
      <c r="DDR73" s="58">
        <v>4</v>
      </c>
      <c r="DDS73" s="49">
        <f>INDEX($T$2:$T$11,MATCH(DDO73,$R$2:$R$11,0))</f>
        <v>0.37</v>
      </c>
      <c r="DDT73" s="49">
        <f t="shared" ref="DDT73:DFP73" si="88">DDP73*DDQ73*DDR73</f>
        <v>50</v>
      </c>
      <c r="DDU73" s="57">
        <f t="shared" ref="DDU73:DFQ73" si="89">DDS73*DDT73</f>
        <v>18.5</v>
      </c>
      <c r="DDV73" s="59" t="s">
        <v>44</v>
      </c>
      <c r="DDW73" s="49" t="s">
        <v>44</v>
      </c>
      <c r="DDX73" s="51">
        <v>45117</v>
      </c>
      <c r="DDY73" s="49"/>
      <c r="DDZ73" s="49" t="s">
        <v>43</v>
      </c>
      <c r="DEA73" s="49" t="s">
        <v>45</v>
      </c>
      <c r="DEB73" s="49" t="s">
        <v>42</v>
      </c>
      <c r="DEC73" s="49" t="s">
        <v>0</v>
      </c>
      <c r="DED73" s="49">
        <v>0</v>
      </c>
      <c r="DEE73" s="49">
        <v>1</v>
      </c>
      <c r="DEF73" s="58">
        <v>2.5</v>
      </c>
      <c r="DEG73" s="58">
        <v>5</v>
      </c>
      <c r="DEH73" s="58">
        <v>4</v>
      </c>
      <c r="DEI73" s="49">
        <f>INDEX($T$2:$T$11,MATCH(DEE73,$R$2:$R$11,0))</f>
        <v>0.37</v>
      </c>
      <c r="DEJ73" s="49">
        <f t="shared" si="88"/>
        <v>50</v>
      </c>
      <c r="DEK73" s="57">
        <f t="shared" si="89"/>
        <v>18.5</v>
      </c>
      <c r="DEL73" s="59" t="s">
        <v>44</v>
      </c>
      <c r="DEM73" s="49" t="s">
        <v>44</v>
      </c>
      <c r="DEN73" s="51">
        <v>45117</v>
      </c>
      <c r="DEO73" s="49"/>
      <c r="DEP73" s="49" t="s">
        <v>43</v>
      </c>
      <c r="DEQ73" s="49" t="s">
        <v>45</v>
      </c>
      <c r="DER73" s="49" t="s">
        <v>42</v>
      </c>
      <c r="DES73" s="49" t="s">
        <v>0</v>
      </c>
      <c r="DET73" s="49">
        <v>0</v>
      </c>
      <c r="DEU73" s="49">
        <v>1</v>
      </c>
      <c r="DEV73" s="58">
        <v>2.5</v>
      </c>
      <c r="DEW73" s="58">
        <v>5</v>
      </c>
      <c r="DEX73" s="58">
        <v>4</v>
      </c>
      <c r="DEY73" s="49">
        <f>INDEX($T$2:$T$11,MATCH(DEU73,$R$2:$R$11,0))</f>
        <v>0.37</v>
      </c>
      <c r="DEZ73" s="49">
        <f t="shared" si="88"/>
        <v>50</v>
      </c>
      <c r="DFA73" s="57">
        <f t="shared" si="89"/>
        <v>18.5</v>
      </c>
      <c r="DFB73" s="59" t="s">
        <v>44</v>
      </c>
      <c r="DFC73" s="49" t="s">
        <v>44</v>
      </c>
      <c r="DFD73" s="51">
        <v>45117</v>
      </c>
      <c r="DFE73" s="49"/>
      <c r="DFF73" s="49" t="s">
        <v>43</v>
      </c>
      <c r="DFG73" s="49" t="s">
        <v>45</v>
      </c>
      <c r="DFH73" s="49" t="s">
        <v>42</v>
      </c>
      <c r="DFI73" s="49" t="s">
        <v>0</v>
      </c>
      <c r="DFJ73" s="49">
        <v>0</v>
      </c>
      <c r="DFK73" s="49">
        <v>1</v>
      </c>
      <c r="DFL73" s="58">
        <v>2.5</v>
      </c>
      <c r="DFM73" s="58">
        <v>5</v>
      </c>
      <c r="DFN73" s="58">
        <v>4</v>
      </c>
      <c r="DFO73" s="49">
        <f>INDEX($T$2:$T$11,MATCH(DFK73,$R$2:$R$11,0))</f>
        <v>0.37</v>
      </c>
      <c r="DFP73" s="49">
        <f t="shared" si="88"/>
        <v>50</v>
      </c>
      <c r="DFQ73" s="57">
        <f t="shared" si="89"/>
        <v>18.5</v>
      </c>
      <c r="DFR73" s="59" t="s">
        <v>44</v>
      </c>
      <c r="DFS73" s="49" t="s">
        <v>44</v>
      </c>
      <c r="DFT73" s="51">
        <v>45117</v>
      </c>
      <c r="DFU73" s="49"/>
      <c r="DFV73" s="49" t="s">
        <v>43</v>
      </c>
      <c r="DFW73" s="49" t="s">
        <v>45</v>
      </c>
      <c r="DFX73" s="49" t="s">
        <v>42</v>
      </c>
      <c r="DFY73" s="49" t="s">
        <v>0</v>
      </c>
      <c r="DFZ73" s="49">
        <v>0</v>
      </c>
      <c r="DGA73" s="49">
        <v>1</v>
      </c>
      <c r="DGB73" s="58">
        <v>2.5</v>
      </c>
      <c r="DGC73" s="58">
        <v>5</v>
      </c>
      <c r="DGD73" s="58">
        <v>4</v>
      </c>
      <c r="DGE73" s="49">
        <f>INDEX($T$2:$T$11,MATCH(DGA73,$R$2:$R$11,0))</f>
        <v>0.37</v>
      </c>
      <c r="DGF73" s="49">
        <f t="shared" ref="DGF73:DIB73" si="90">DGB73*DGC73*DGD73</f>
        <v>50</v>
      </c>
      <c r="DGG73" s="57">
        <f t="shared" ref="DGG73:DIC73" si="91">DGE73*DGF73</f>
        <v>18.5</v>
      </c>
      <c r="DGH73" s="59" t="s">
        <v>44</v>
      </c>
      <c r="DGI73" s="49" t="s">
        <v>44</v>
      </c>
      <c r="DGJ73" s="51">
        <v>45117</v>
      </c>
      <c r="DGK73" s="49"/>
      <c r="DGL73" s="49" t="s">
        <v>43</v>
      </c>
      <c r="DGM73" s="49" t="s">
        <v>45</v>
      </c>
      <c r="DGN73" s="49" t="s">
        <v>42</v>
      </c>
      <c r="DGO73" s="49" t="s">
        <v>0</v>
      </c>
      <c r="DGP73" s="49">
        <v>0</v>
      </c>
      <c r="DGQ73" s="49">
        <v>1</v>
      </c>
      <c r="DGR73" s="58">
        <v>2.5</v>
      </c>
      <c r="DGS73" s="58">
        <v>5</v>
      </c>
      <c r="DGT73" s="58">
        <v>4</v>
      </c>
      <c r="DGU73" s="49">
        <f>INDEX($T$2:$T$11,MATCH(DGQ73,$R$2:$R$11,0))</f>
        <v>0.37</v>
      </c>
      <c r="DGV73" s="49">
        <f t="shared" si="90"/>
        <v>50</v>
      </c>
      <c r="DGW73" s="57">
        <f t="shared" si="91"/>
        <v>18.5</v>
      </c>
      <c r="DGX73" s="59" t="s">
        <v>44</v>
      </c>
      <c r="DGY73" s="49" t="s">
        <v>44</v>
      </c>
      <c r="DGZ73" s="51">
        <v>45117</v>
      </c>
      <c r="DHA73" s="49"/>
      <c r="DHB73" s="49" t="s">
        <v>43</v>
      </c>
      <c r="DHC73" s="49" t="s">
        <v>45</v>
      </c>
      <c r="DHD73" s="49" t="s">
        <v>42</v>
      </c>
      <c r="DHE73" s="49" t="s">
        <v>0</v>
      </c>
      <c r="DHF73" s="49">
        <v>0</v>
      </c>
      <c r="DHG73" s="49">
        <v>1</v>
      </c>
      <c r="DHH73" s="58">
        <v>2.5</v>
      </c>
      <c r="DHI73" s="58">
        <v>5</v>
      </c>
      <c r="DHJ73" s="58">
        <v>4</v>
      </c>
      <c r="DHK73" s="49">
        <f>INDEX($T$2:$T$11,MATCH(DHG73,$R$2:$R$11,0))</f>
        <v>0.37</v>
      </c>
      <c r="DHL73" s="49">
        <f t="shared" si="90"/>
        <v>50</v>
      </c>
      <c r="DHM73" s="57">
        <f t="shared" si="91"/>
        <v>18.5</v>
      </c>
      <c r="DHN73" s="59" t="s">
        <v>44</v>
      </c>
      <c r="DHO73" s="49" t="s">
        <v>44</v>
      </c>
      <c r="DHP73" s="51">
        <v>45117</v>
      </c>
      <c r="DHQ73" s="49"/>
      <c r="DHR73" s="49" t="s">
        <v>43</v>
      </c>
      <c r="DHS73" s="49" t="s">
        <v>45</v>
      </c>
      <c r="DHT73" s="49" t="s">
        <v>42</v>
      </c>
      <c r="DHU73" s="49" t="s">
        <v>0</v>
      </c>
      <c r="DHV73" s="49">
        <v>0</v>
      </c>
      <c r="DHW73" s="49">
        <v>1</v>
      </c>
      <c r="DHX73" s="58">
        <v>2.5</v>
      </c>
      <c r="DHY73" s="58">
        <v>5</v>
      </c>
      <c r="DHZ73" s="58">
        <v>4</v>
      </c>
      <c r="DIA73" s="49">
        <f>INDEX($T$2:$T$11,MATCH(DHW73,$R$2:$R$11,0))</f>
        <v>0.37</v>
      </c>
      <c r="DIB73" s="49">
        <f t="shared" si="90"/>
        <v>50</v>
      </c>
      <c r="DIC73" s="57">
        <f t="shared" si="91"/>
        <v>18.5</v>
      </c>
      <c r="DID73" s="59" t="s">
        <v>44</v>
      </c>
      <c r="DIE73" s="49" t="s">
        <v>44</v>
      </c>
      <c r="DIF73" s="51">
        <v>45117</v>
      </c>
      <c r="DIG73" s="49"/>
      <c r="DIH73" s="49" t="s">
        <v>43</v>
      </c>
      <c r="DII73" s="49" t="s">
        <v>45</v>
      </c>
      <c r="DIJ73" s="49" t="s">
        <v>42</v>
      </c>
      <c r="DIK73" s="49" t="s">
        <v>0</v>
      </c>
      <c r="DIL73" s="49">
        <v>0</v>
      </c>
      <c r="DIM73" s="49">
        <v>1</v>
      </c>
      <c r="DIN73" s="58">
        <v>2.5</v>
      </c>
      <c r="DIO73" s="58">
        <v>5</v>
      </c>
      <c r="DIP73" s="58">
        <v>4</v>
      </c>
      <c r="DIQ73" s="49">
        <f>INDEX($T$2:$T$11,MATCH(DIM73,$R$2:$R$11,0))</f>
        <v>0.37</v>
      </c>
      <c r="DIR73" s="49">
        <f t="shared" ref="DIR73:DKN73" si="92">DIN73*DIO73*DIP73</f>
        <v>50</v>
      </c>
      <c r="DIS73" s="57">
        <f t="shared" ref="DIS73:DKO73" si="93">DIQ73*DIR73</f>
        <v>18.5</v>
      </c>
      <c r="DIT73" s="59" t="s">
        <v>44</v>
      </c>
      <c r="DIU73" s="49" t="s">
        <v>44</v>
      </c>
      <c r="DIV73" s="51">
        <v>45117</v>
      </c>
      <c r="DIW73" s="49"/>
      <c r="DIX73" s="49" t="s">
        <v>43</v>
      </c>
      <c r="DIY73" s="49" t="s">
        <v>45</v>
      </c>
      <c r="DIZ73" s="49" t="s">
        <v>42</v>
      </c>
      <c r="DJA73" s="49" t="s">
        <v>0</v>
      </c>
      <c r="DJB73" s="49">
        <v>0</v>
      </c>
      <c r="DJC73" s="49">
        <v>1</v>
      </c>
      <c r="DJD73" s="58">
        <v>2.5</v>
      </c>
      <c r="DJE73" s="58">
        <v>5</v>
      </c>
      <c r="DJF73" s="58">
        <v>4</v>
      </c>
      <c r="DJG73" s="49">
        <f>INDEX($T$2:$T$11,MATCH(DJC73,$R$2:$R$11,0))</f>
        <v>0.37</v>
      </c>
      <c r="DJH73" s="49">
        <f t="shared" si="92"/>
        <v>50</v>
      </c>
      <c r="DJI73" s="57">
        <f t="shared" si="93"/>
        <v>18.5</v>
      </c>
      <c r="DJJ73" s="59" t="s">
        <v>44</v>
      </c>
      <c r="DJK73" s="49" t="s">
        <v>44</v>
      </c>
      <c r="DJL73" s="51">
        <v>45117</v>
      </c>
      <c r="DJM73" s="49"/>
      <c r="DJN73" s="49" t="s">
        <v>43</v>
      </c>
      <c r="DJO73" s="49" t="s">
        <v>45</v>
      </c>
      <c r="DJP73" s="49" t="s">
        <v>42</v>
      </c>
      <c r="DJQ73" s="49" t="s">
        <v>0</v>
      </c>
      <c r="DJR73" s="49">
        <v>0</v>
      </c>
      <c r="DJS73" s="49">
        <v>1</v>
      </c>
      <c r="DJT73" s="58">
        <v>2.5</v>
      </c>
      <c r="DJU73" s="58">
        <v>5</v>
      </c>
      <c r="DJV73" s="58">
        <v>4</v>
      </c>
      <c r="DJW73" s="49">
        <f>INDEX($T$2:$T$11,MATCH(DJS73,$R$2:$R$11,0))</f>
        <v>0.37</v>
      </c>
      <c r="DJX73" s="49">
        <f t="shared" si="92"/>
        <v>50</v>
      </c>
      <c r="DJY73" s="57">
        <f t="shared" si="93"/>
        <v>18.5</v>
      </c>
      <c r="DJZ73" s="59" t="s">
        <v>44</v>
      </c>
      <c r="DKA73" s="49" t="s">
        <v>44</v>
      </c>
      <c r="DKB73" s="51">
        <v>45117</v>
      </c>
      <c r="DKC73" s="49"/>
      <c r="DKD73" s="49" t="s">
        <v>43</v>
      </c>
      <c r="DKE73" s="49" t="s">
        <v>45</v>
      </c>
      <c r="DKF73" s="49" t="s">
        <v>42</v>
      </c>
      <c r="DKG73" s="49" t="s">
        <v>0</v>
      </c>
      <c r="DKH73" s="49">
        <v>0</v>
      </c>
      <c r="DKI73" s="49">
        <v>1</v>
      </c>
      <c r="DKJ73" s="58">
        <v>2.5</v>
      </c>
      <c r="DKK73" s="58">
        <v>5</v>
      </c>
      <c r="DKL73" s="58">
        <v>4</v>
      </c>
      <c r="DKM73" s="49">
        <f>INDEX($T$2:$T$11,MATCH(DKI73,$R$2:$R$11,0))</f>
        <v>0.37</v>
      </c>
      <c r="DKN73" s="49">
        <f t="shared" si="92"/>
        <v>50</v>
      </c>
      <c r="DKO73" s="57">
        <f t="shared" si="93"/>
        <v>18.5</v>
      </c>
      <c r="DKP73" s="59" t="s">
        <v>44</v>
      </c>
      <c r="DKQ73" s="49" t="s">
        <v>44</v>
      </c>
      <c r="DKR73" s="51">
        <v>45117</v>
      </c>
      <c r="DKS73" s="49"/>
      <c r="DKT73" s="49" t="s">
        <v>43</v>
      </c>
      <c r="DKU73" s="49" t="s">
        <v>45</v>
      </c>
      <c r="DKV73" s="49" t="s">
        <v>42</v>
      </c>
      <c r="DKW73" s="49" t="s">
        <v>0</v>
      </c>
      <c r="DKX73" s="49">
        <v>0</v>
      </c>
      <c r="DKY73" s="49">
        <v>1</v>
      </c>
      <c r="DKZ73" s="58">
        <v>2.5</v>
      </c>
      <c r="DLA73" s="58">
        <v>5</v>
      </c>
      <c r="DLB73" s="58">
        <v>4</v>
      </c>
      <c r="DLC73" s="49">
        <f>INDEX($T$2:$T$11,MATCH(DKY73,$R$2:$R$11,0))</f>
        <v>0.37</v>
      </c>
      <c r="DLD73" s="49">
        <f t="shared" ref="DLD73:DMZ73" si="94">DKZ73*DLA73*DLB73</f>
        <v>50</v>
      </c>
      <c r="DLE73" s="57">
        <f t="shared" ref="DLE73:DNA73" si="95">DLC73*DLD73</f>
        <v>18.5</v>
      </c>
      <c r="DLF73" s="59" t="s">
        <v>44</v>
      </c>
      <c r="DLG73" s="49" t="s">
        <v>44</v>
      </c>
      <c r="DLH73" s="51">
        <v>45117</v>
      </c>
      <c r="DLI73" s="49"/>
      <c r="DLJ73" s="49" t="s">
        <v>43</v>
      </c>
      <c r="DLK73" s="49" t="s">
        <v>45</v>
      </c>
      <c r="DLL73" s="49" t="s">
        <v>42</v>
      </c>
      <c r="DLM73" s="49" t="s">
        <v>0</v>
      </c>
      <c r="DLN73" s="49">
        <v>0</v>
      </c>
      <c r="DLO73" s="49">
        <v>1</v>
      </c>
      <c r="DLP73" s="58">
        <v>2.5</v>
      </c>
      <c r="DLQ73" s="58">
        <v>5</v>
      </c>
      <c r="DLR73" s="58">
        <v>4</v>
      </c>
      <c r="DLS73" s="49">
        <f>INDEX($T$2:$T$11,MATCH(DLO73,$R$2:$R$11,0))</f>
        <v>0.37</v>
      </c>
      <c r="DLT73" s="49">
        <f t="shared" si="94"/>
        <v>50</v>
      </c>
      <c r="DLU73" s="57">
        <f t="shared" si="95"/>
        <v>18.5</v>
      </c>
      <c r="DLV73" s="59" t="s">
        <v>44</v>
      </c>
      <c r="DLW73" s="49" t="s">
        <v>44</v>
      </c>
      <c r="DLX73" s="51">
        <v>45117</v>
      </c>
      <c r="DLY73" s="49"/>
      <c r="DLZ73" s="49" t="s">
        <v>43</v>
      </c>
      <c r="DMA73" s="49" t="s">
        <v>45</v>
      </c>
      <c r="DMB73" s="49" t="s">
        <v>42</v>
      </c>
      <c r="DMC73" s="49" t="s">
        <v>0</v>
      </c>
      <c r="DMD73" s="49">
        <v>0</v>
      </c>
      <c r="DME73" s="49">
        <v>1</v>
      </c>
      <c r="DMF73" s="58">
        <v>2.5</v>
      </c>
      <c r="DMG73" s="58">
        <v>5</v>
      </c>
      <c r="DMH73" s="58">
        <v>4</v>
      </c>
      <c r="DMI73" s="49">
        <f>INDEX($T$2:$T$11,MATCH(DME73,$R$2:$R$11,0))</f>
        <v>0.37</v>
      </c>
      <c r="DMJ73" s="49">
        <f t="shared" si="94"/>
        <v>50</v>
      </c>
      <c r="DMK73" s="57">
        <f t="shared" si="95"/>
        <v>18.5</v>
      </c>
      <c r="DML73" s="59" t="s">
        <v>44</v>
      </c>
      <c r="DMM73" s="49" t="s">
        <v>44</v>
      </c>
      <c r="DMN73" s="51">
        <v>45117</v>
      </c>
      <c r="DMO73" s="49"/>
      <c r="DMP73" s="49" t="s">
        <v>43</v>
      </c>
      <c r="DMQ73" s="49" t="s">
        <v>45</v>
      </c>
      <c r="DMR73" s="49" t="s">
        <v>42</v>
      </c>
      <c r="DMS73" s="49" t="s">
        <v>0</v>
      </c>
      <c r="DMT73" s="49">
        <v>0</v>
      </c>
      <c r="DMU73" s="49">
        <v>1</v>
      </c>
      <c r="DMV73" s="58">
        <v>2.5</v>
      </c>
      <c r="DMW73" s="58">
        <v>5</v>
      </c>
      <c r="DMX73" s="58">
        <v>4</v>
      </c>
      <c r="DMY73" s="49">
        <f>INDEX($T$2:$T$11,MATCH(DMU73,$R$2:$R$11,0))</f>
        <v>0.37</v>
      </c>
      <c r="DMZ73" s="49">
        <f t="shared" si="94"/>
        <v>50</v>
      </c>
      <c r="DNA73" s="57">
        <f t="shared" si="95"/>
        <v>18.5</v>
      </c>
      <c r="DNB73" s="59" t="s">
        <v>44</v>
      </c>
      <c r="DNC73" s="49" t="s">
        <v>44</v>
      </c>
      <c r="DND73" s="51">
        <v>45117</v>
      </c>
      <c r="DNE73" s="49"/>
      <c r="DNF73" s="49" t="s">
        <v>43</v>
      </c>
      <c r="DNG73" s="49" t="s">
        <v>45</v>
      </c>
      <c r="DNH73" s="49" t="s">
        <v>42</v>
      </c>
      <c r="DNI73" s="49" t="s">
        <v>0</v>
      </c>
      <c r="DNJ73" s="49">
        <v>0</v>
      </c>
      <c r="DNK73" s="49">
        <v>1</v>
      </c>
      <c r="DNL73" s="58">
        <v>2.5</v>
      </c>
      <c r="DNM73" s="58">
        <v>5</v>
      </c>
      <c r="DNN73" s="58">
        <v>4</v>
      </c>
      <c r="DNO73" s="49">
        <f>INDEX($T$2:$T$11,MATCH(DNK73,$R$2:$R$11,0))</f>
        <v>0.37</v>
      </c>
      <c r="DNP73" s="49">
        <f t="shared" ref="DNP73:DPL73" si="96">DNL73*DNM73*DNN73</f>
        <v>50</v>
      </c>
      <c r="DNQ73" s="57">
        <f t="shared" ref="DNQ73:DPM73" si="97">DNO73*DNP73</f>
        <v>18.5</v>
      </c>
      <c r="DNR73" s="59" t="s">
        <v>44</v>
      </c>
      <c r="DNS73" s="49" t="s">
        <v>44</v>
      </c>
      <c r="DNT73" s="51">
        <v>45117</v>
      </c>
      <c r="DNU73" s="49"/>
      <c r="DNV73" s="49" t="s">
        <v>43</v>
      </c>
      <c r="DNW73" s="49" t="s">
        <v>45</v>
      </c>
      <c r="DNX73" s="49" t="s">
        <v>42</v>
      </c>
      <c r="DNY73" s="49" t="s">
        <v>0</v>
      </c>
      <c r="DNZ73" s="49">
        <v>0</v>
      </c>
      <c r="DOA73" s="49">
        <v>1</v>
      </c>
      <c r="DOB73" s="58">
        <v>2.5</v>
      </c>
      <c r="DOC73" s="58">
        <v>5</v>
      </c>
      <c r="DOD73" s="58">
        <v>4</v>
      </c>
      <c r="DOE73" s="49">
        <f>INDEX($T$2:$T$11,MATCH(DOA73,$R$2:$R$11,0))</f>
        <v>0.37</v>
      </c>
      <c r="DOF73" s="49">
        <f t="shared" si="96"/>
        <v>50</v>
      </c>
      <c r="DOG73" s="57">
        <f t="shared" si="97"/>
        <v>18.5</v>
      </c>
      <c r="DOH73" s="59" t="s">
        <v>44</v>
      </c>
      <c r="DOI73" s="49" t="s">
        <v>44</v>
      </c>
      <c r="DOJ73" s="51">
        <v>45117</v>
      </c>
      <c r="DOK73" s="49"/>
      <c r="DOL73" s="49" t="s">
        <v>43</v>
      </c>
      <c r="DOM73" s="49" t="s">
        <v>45</v>
      </c>
      <c r="DON73" s="49" t="s">
        <v>42</v>
      </c>
      <c r="DOO73" s="49" t="s">
        <v>0</v>
      </c>
      <c r="DOP73" s="49">
        <v>0</v>
      </c>
      <c r="DOQ73" s="49">
        <v>1</v>
      </c>
      <c r="DOR73" s="58">
        <v>2.5</v>
      </c>
      <c r="DOS73" s="58">
        <v>5</v>
      </c>
      <c r="DOT73" s="58">
        <v>4</v>
      </c>
      <c r="DOU73" s="49">
        <f>INDEX($T$2:$T$11,MATCH(DOQ73,$R$2:$R$11,0))</f>
        <v>0.37</v>
      </c>
      <c r="DOV73" s="49">
        <f t="shared" si="96"/>
        <v>50</v>
      </c>
      <c r="DOW73" s="57">
        <f t="shared" si="97"/>
        <v>18.5</v>
      </c>
      <c r="DOX73" s="59" t="s">
        <v>44</v>
      </c>
      <c r="DOY73" s="49" t="s">
        <v>44</v>
      </c>
      <c r="DOZ73" s="51">
        <v>45117</v>
      </c>
      <c r="DPA73" s="49"/>
      <c r="DPB73" s="49" t="s">
        <v>43</v>
      </c>
      <c r="DPC73" s="49" t="s">
        <v>45</v>
      </c>
      <c r="DPD73" s="49" t="s">
        <v>42</v>
      </c>
      <c r="DPE73" s="49" t="s">
        <v>0</v>
      </c>
      <c r="DPF73" s="49">
        <v>0</v>
      </c>
      <c r="DPG73" s="49">
        <v>1</v>
      </c>
      <c r="DPH73" s="58">
        <v>2.5</v>
      </c>
      <c r="DPI73" s="58">
        <v>5</v>
      </c>
      <c r="DPJ73" s="58">
        <v>4</v>
      </c>
      <c r="DPK73" s="49">
        <f>INDEX($T$2:$T$11,MATCH(DPG73,$R$2:$R$11,0))</f>
        <v>0.37</v>
      </c>
      <c r="DPL73" s="49">
        <f t="shared" si="96"/>
        <v>50</v>
      </c>
      <c r="DPM73" s="57">
        <f t="shared" si="97"/>
        <v>18.5</v>
      </c>
      <c r="DPN73" s="59" t="s">
        <v>44</v>
      </c>
      <c r="DPO73" s="49" t="s">
        <v>44</v>
      </c>
      <c r="DPP73" s="51">
        <v>45117</v>
      </c>
      <c r="DPQ73" s="49"/>
      <c r="DPR73" s="49" t="s">
        <v>43</v>
      </c>
      <c r="DPS73" s="49" t="s">
        <v>45</v>
      </c>
      <c r="DPT73" s="49" t="s">
        <v>42</v>
      </c>
      <c r="DPU73" s="49" t="s">
        <v>0</v>
      </c>
      <c r="DPV73" s="49">
        <v>0</v>
      </c>
      <c r="DPW73" s="49">
        <v>1</v>
      </c>
      <c r="DPX73" s="58">
        <v>2.5</v>
      </c>
      <c r="DPY73" s="58">
        <v>5</v>
      </c>
      <c r="DPZ73" s="58">
        <v>4</v>
      </c>
      <c r="DQA73" s="49">
        <f>INDEX($T$2:$T$11,MATCH(DPW73,$R$2:$R$11,0))</f>
        <v>0.37</v>
      </c>
      <c r="DQB73" s="49">
        <f t="shared" ref="DQB73:DRX73" si="98">DPX73*DPY73*DPZ73</f>
        <v>50</v>
      </c>
      <c r="DQC73" s="57">
        <f t="shared" ref="DQC73:DRY73" si="99">DQA73*DQB73</f>
        <v>18.5</v>
      </c>
      <c r="DQD73" s="59" t="s">
        <v>44</v>
      </c>
      <c r="DQE73" s="49" t="s">
        <v>44</v>
      </c>
      <c r="DQF73" s="51">
        <v>45117</v>
      </c>
      <c r="DQG73" s="49"/>
      <c r="DQH73" s="49" t="s">
        <v>43</v>
      </c>
      <c r="DQI73" s="49" t="s">
        <v>45</v>
      </c>
      <c r="DQJ73" s="49" t="s">
        <v>42</v>
      </c>
      <c r="DQK73" s="49" t="s">
        <v>0</v>
      </c>
      <c r="DQL73" s="49">
        <v>0</v>
      </c>
      <c r="DQM73" s="49">
        <v>1</v>
      </c>
      <c r="DQN73" s="58">
        <v>2.5</v>
      </c>
      <c r="DQO73" s="58">
        <v>5</v>
      </c>
      <c r="DQP73" s="58">
        <v>4</v>
      </c>
      <c r="DQQ73" s="49">
        <f>INDEX($T$2:$T$11,MATCH(DQM73,$R$2:$R$11,0))</f>
        <v>0.37</v>
      </c>
      <c r="DQR73" s="49">
        <f t="shared" si="98"/>
        <v>50</v>
      </c>
      <c r="DQS73" s="57">
        <f t="shared" si="99"/>
        <v>18.5</v>
      </c>
      <c r="DQT73" s="59" t="s">
        <v>44</v>
      </c>
      <c r="DQU73" s="49" t="s">
        <v>44</v>
      </c>
      <c r="DQV73" s="51">
        <v>45117</v>
      </c>
      <c r="DQW73" s="49"/>
      <c r="DQX73" s="49" t="s">
        <v>43</v>
      </c>
      <c r="DQY73" s="49" t="s">
        <v>45</v>
      </c>
      <c r="DQZ73" s="49" t="s">
        <v>42</v>
      </c>
      <c r="DRA73" s="49" t="s">
        <v>0</v>
      </c>
      <c r="DRB73" s="49">
        <v>0</v>
      </c>
      <c r="DRC73" s="49">
        <v>1</v>
      </c>
      <c r="DRD73" s="58">
        <v>2.5</v>
      </c>
      <c r="DRE73" s="58">
        <v>5</v>
      </c>
      <c r="DRF73" s="58">
        <v>4</v>
      </c>
      <c r="DRG73" s="49">
        <f>INDEX($T$2:$T$11,MATCH(DRC73,$R$2:$R$11,0))</f>
        <v>0.37</v>
      </c>
      <c r="DRH73" s="49">
        <f t="shared" si="98"/>
        <v>50</v>
      </c>
      <c r="DRI73" s="57">
        <f t="shared" si="99"/>
        <v>18.5</v>
      </c>
      <c r="DRJ73" s="59" t="s">
        <v>44</v>
      </c>
      <c r="DRK73" s="49" t="s">
        <v>44</v>
      </c>
      <c r="DRL73" s="51">
        <v>45117</v>
      </c>
      <c r="DRM73" s="49"/>
      <c r="DRN73" s="49" t="s">
        <v>43</v>
      </c>
      <c r="DRO73" s="49" t="s">
        <v>45</v>
      </c>
      <c r="DRP73" s="49" t="s">
        <v>42</v>
      </c>
      <c r="DRQ73" s="49" t="s">
        <v>0</v>
      </c>
      <c r="DRR73" s="49">
        <v>0</v>
      </c>
      <c r="DRS73" s="49">
        <v>1</v>
      </c>
      <c r="DRT73" s="58">
        <v>2.5</v>
      </c>
      <c r="DRU73" s="58">
        <v>5</v>
      </c>
      <c r="DRV73" s="58">
        <v>4</v>
      </c>
      <c r="DRW73" s="49">
        <f>INDEX($T$2:$T$11,MATCH(DRS73,$R$2:$R$11,0))</f>
        <v>0.37</v>
      </c>
      <c r="DRX73" s="49">
        <f t="shared" si="98"/>
        <v>50</v>
      </c>
      <c r="DRY73" s="57">
        <f t="shared" si="99"/>
        <v>18.5</v>
      </c>
      <c r="DRZ73" s="59" t="s">
        <v>44</v>
      </c>
      <c r="DSA73" s="49" t="s">
        <v>44</v>
      </c>
      <c r="DSB73" s="51">
        <v>45117</v>
      </c>
      <c r="DSC73" s="49"/>
      <c r="DSD73" s="49" t="s">
        <v>43</v>
      </c>
      <c r="DSE73" s="49" t="s">
        <v>45</v>
      </c>
      <c r="DSF73" s="49" t="s">
        <v>42</v>
      </c>
      <c r="DSG73" s="49" t="s">
        <v>0</v>
      </c>
      <c r="DSH73" s="49">
        <v>0</v>
      </c>
      <c r="DSI73" s="49">
        <v>1</v>
      </c>
      <c r="DSJ73" s="58">
        <v>2.5</v>
      </c>
      <c r="DSK73" s="58">
        <v>5</v>
      </c>
      <c r="DSL73" s="58">
        <v>4</v>
      </c>
      <c r="DSM73" s="49">
        <f>INDEX($T$2:$T$11,MATCH(DSI73,$R$2:$R$11,0))</f>
        <v>0.37</v>
      </c>
      <c r="DSN73" s="49">
        <f t="shared" ref="DSN73:DUJ73" si="100">DSJ73*DSK73*DSL73</f>
        <v>50</v>
      </c>
      <c r="DSO73" s="57">
        <f t="shared" ref="DSO73:DUK73" si="101">DSM73*DSN73</f>
        <v>18.5</v>
      </c>
      <c r="DSP73" s="59" t="s">
        <v>44</v>
      </c>
      <c r="DSQ73" s="49" t="s">
        <v>44</v>
      </c>
      <c r="DSR73" s="51">
        <v>45117</v>
      </c>
      <c r="DSS73" s="49"/>
      <c r="DST73" s="49" t="s">
        <v>43</v>
      </c>
      <c r="DSU73" s="49" t="s">
        <v>45</v>
      </c>
      <c r="DSV73" s="49" t="s">
        <v>42</v>
      </c>
      <c r="DSW73" s="49" t="s">
        <v>0</v>
      </c>
      <c r="DSX73" s="49">
        <v>0</v>
      </c>
      <c r="DSY73" s="49">
        <v>1</v>
      </c>
      <c r="DSZ73" s="58">
        <v>2.5</v>
      </c>
      <c r="DTA73" s="58">
        <v>5</v>
      </c>
      <c r="DTB73" s="58">
        <v>4</v>
      </c>
      <c r="DTC73" s="49">
        <f>INDEX($T$2:$T$11,MATCH(DSY73,$R$2:$R$11,0))</f>
        <v>0.37</v>
      </c>
      <c r="DTD73" s="49">
        <f t="shared" si="100"/>
        <v>50</v>
      </c>
      <c r="DTE73" s="57">
        <f t="shared" si="101"/>
        <v>18.5</v>
      </c>
      <c r="DTF73" s="59" t="s">
        <v>44</v>
      </c>
      <c r="DTG73" s="49" t="s">
        <v>44</v>
      </c>
      <c r="DTH73" s="51">
        <v>45117</v>
      </c>
      <c r="DTI73" s="49"/>
      <c r="DTJ73" s="49" t="s">
        <v>43</v>
      </c>
      <c r="DTK73" s="49" t="s">
        <v>45</v>
      </c>
      <c r="DTL73" s="49" t="s">
        <v>42</v>
      </c>
      <c r="DTM73" s="49" t="s">
        <v>0</v>
      </c>
      <c r="DTN73" s="49">
        <v>0</v>
      </c>
      <c r="DTO73" s="49">
        <v>1</v>
      </c>
      <c r="DTP73" s="58">
        <v>2.5</v>
      </c>
      <c r="DTQ73" s="58">
        <v>5</v>
      </c>
      <c r="DTR73" s="58">
        <v>4</v>
      </c>
      <c r="DTS73" s="49">
        <f>INDEX($T$2:$T$11,MATCH(DTO73,$R$2:$R$11,0))</f>
        <v>0.37</v>
      </c>
      <c r="DTT73" s="49">
        <f t="shared" si="100"/>
        <v>50</v>
      </c>
      <c r="DTU73" s="57">
        <f t="shared" si="101"/>
        <v>18.5</v>
      </c>
      <c r="DTV73" s="59" t="s">
        <v>44</v>
      </c>
      <c r="DTW73" s="49" t="s">
        <v>44</v>
      </c>
      <c r="DTX73" s="51">
        <v>45117</v>
      </c>
      <c r="DTY73" s="49"/>
      <c r="DTZ73" s="49" t="s">
        <v>43</v>
      </c>
      <c r="DUA73" s="49" t="s">
        <v>45</v>
      </c>
      <c r="DUB73" s="49" t="s">
        <v>42</v>
      </c>
      <c r="DUC73" s="49" t="s">
        <v>0</v>
      </c>
      <c r="DUD73" s="49">
        <v>0</v>
      </c>
      <c r="DUE73" s="49">
        <v>1</v>
      </c>
      <c r="DUF73" s="58">
        <v>2.5</v>
      </c>
      <c r="DUG73" s="58">
        <v>5</v>
      </c>
      <c r="DUH73" s="58">
        <v>4</v>
      </c>
      <c r="DUI73" s="49">
        <f>INDEX($T$2:$T$11,MATCH(DUE73,$R$2:$R$11,0))</f>
        <v>0.37</v>
      </c>
      <c r="DUJ73" s="49">
        <f t="shared" si="100"/>
        <v>50</v>
      </c>
      <c r="DUK73" s="57">
        <f t="shared" si="101"/>
        <v>18.5</v>
      </c>
      <c r="DUL73" s="59" t="s">
        <v>44</v>
      </c>
      <c r="DUM73" s="49" t="s">
        <v>44</v>
      </c>
      <c r="DUN73" s="51">
        <v>45117</v>
      </c>
      <c r="DUO73" s="49"/>
      <c r="DUP73" s="49" t="s">
        <v>43</v>
      </c>
      <c r="DUQ73" s="49" t="s">
        <v>45</v>
      </c>
      <c r="DUR73" s="49" t="s">
        <v>42</v>
      </c>
      <c r="DUS73" s="49" t="s">
        <v>0</v>
      </c>
      <c r="DUT73" s="49">
        <v>0</v>
      </c>
      <c r="DUU73" s="49">
        <v>1</v>
      </c>
      <c r="DUV73" s="58">
        <v>2.5</v>
      </c>
      <c r="DUW73" s="58">
        <v>5</v>
      </c>
      <c r="DUX73" s="58">
        <v>4</v>
      </c>
      <c r="DUY73" s="49">
        <f>INDEX($T$2:$T$11,MATCH(DUU73,$R$2:$R$11,0))</f>
        <v>0.37</v>
      </c>
      <c r="DUZ73" s="49">
        <f t="shared" ref="DUZ73:DWV73" si="102">DUV73*DUW73*DUX73</f>
        <v>50</v>
      </c>
      <c r="DVA73" s="57">
        <f t="shared" ref="DVA73:DWW73" si="103">DUY73*DUZ73</f>
        <v>18.5</v>
      </c>
      <c r="DVB73" s="59" t="s">
        <v>44</v>
      </c>
      <c r="DVC73" s="49" t="s">
        <v>44</v>
      </c>
      <c r="DVD73" s="51">
        <v>45117</v>
      </c>
      <c r="DVE73" s="49"/>
      <c r="DVF73" s="49" t="s">
        <v>43</v>
      </c>
      <c r="DVG73" s="49" t="s">
        <v>45</v>
      </c>
      <c r="DVH73" s="49" t="s">
        <v>42</v>
      </c>
      <c r="DVI73" s="49" t="s">
        <v>0</v>
      </c>
      <c r="DVJ73" s="49">
        <v>0</v>
      </c>
      <c r="DVK73" s="49">
        <v>1</v>
      </c>
      <c r="DVL73" s="58">
        <v>2.5</v>
      </c>
      <c r="DVM73" s="58">
        <v>5</v>
      </c>
      <c r="DVN73" s="58">
        <v>4</v>
      </c>
      <c r="DVO73" s="49">
        <f>INDEX($T$2:$T$11,MATCH(DVK73,$R$2:$R$11,0))</f>
        <v>0.37</v>
      </c>
      <c r="DVP73" s="49">
        <f t="shared" si="102"/>
        <v>50</v>
      </c>
      <c r="DVQ73" s="57">
        <f t="shared" si="103"/>
        <v>18.5</v>
      </c>
      <c r="DVR73" s="59" t="s">
        <v>44</v>
      </c>
      <c r="DVS73" s="49" t="s">
        <v>44</v>
      </c>
      <c r="DVT73" s="51">
        <v>45117</v>
      </c>
      <c r="DVU73" s="49"/>
      <c r="DVV73" s="49" t="s">
        <v>43</v>
      </c>
      <c r="DVW73" s="49" t="s">
        <v>45</v>
      </c>
      <c r="DVX73" s="49" t="s">
        <v>42</v>
      </c>
      <c r="DVY73" s="49" t="s">
        <v>0</v>
      </c>
      <c r="DVZ73" s="49">
        <v>0</v>
      </c>
      <c r="DWA73" s="49">
        <v>1</v>
      </c>
      <c r="DWB73" s="58">
        <v>2.5</v>
      </c>
      <c r="DWC73" s="58">
        <v>5</v>
      </c>
      <c r="DWD73" s="58">
        <v>4</v>
      </c>
      <c r="DWE73" s="49">
        <f>INDEX($T$2:$T$11,MATCH(DWA73,$R$2:$R$11,0))</f>
        <v>0.37</v>
      </c>
      <c r="DWF73" s="49">
        <f t="shared" si="102"/>
        <v>50</v>
      </c>
      <c r="DWG73" s="57">
        <f t="shared" si="103"/>
        <v>18.5</v>
      </c>
      <c r="DWH73" s="59" t="s">
        <v>44</v>
      </c>
      <c r="DWI73" s="49" t="s">
        <v>44</v>
      </c>
      <c r="DWJ73" s="51">
        <v>45117</v>
      </c>
      <c r="DWK73" s="49"/>
      <c r="DWL73" s="49" t="s">
        <v>43</v>
      </c>
      <c r="DWM73" s="49" t="s">
        <v>45</v>
      </c>
      <c r="DWN73" s="49" t="s">
        <v>42</v>
      </c>
      <c r="DWO73" s="49" t="s">
        <v>0</v>
      </c>
      <c r="DWP73" s="49">
        <v>0</v>
      </c>
      <c r="DWQ73" s="49">
        <v>1</v>
      </c>
      <c r="DWR73" s="58">
        <v>2.5</v>
      </c>
      <c r="DWS73" s="58">
        <v>5</v>
      </c>
      <c r="DWT73" s="58">
        <v>4</v>
      </c>
      <c r="DWU73" s="49">
        <f>INDEX($T$2:$T$11,MATCH(DWQ73,$R$2:$R$11,0))</f>
        <v>0.37</v>
      </c>
      <c r="DWV73" s="49">
        <f t="shared" si="102"/>
        <v>50</v>
      </c>
      <c r="DWW73" s="57">
        <f t="shared" si="103"/>
        <v>18.5</v>
      </c>
      <c r="DWX73" s="59" t="s">
        <v>44</v>
      </c>
      <c r="DWY73" s="49" t="s">
        <v>44</v>
      </c>
      <c r="DWZ73" s="51">
        <v>45117</v>
      </c>
      <c r="DXA73" s="49"/>
      <c r="DXB73" s="49" t="s">
        <v>43</v>
      </c>
      <c r="DXC73" s="49" t="s">
        <v>45</v>
      </c>
      <c r="DXD73" s="49" t="s">
        <v>42</v>
      </c>
      <c r="DXE73" s="49" t="s">
        <v>0</v>
      </c>
      <c r="DXF73" s="49">
        <v>0</v>
      </c>
      <c r="DXG73" s="49">
        <v>1</v>
      </c>
      <c r="DXH73" s="58">
        <v>2.5</v>
      </c>
      <c r="DXI73" s="58">
        <v>5</v>
      </c>
      <c r="DXJ73" s="58">
        <v>4</v>
      </c>
      <c r="DXK73" s="49">
        <f>INDEX($T$2:$T$11,MATCH(DXG73,$R$2:$R$11,0))</f>
        <v>0.37</v>
      </c>
      <c r="DXL73" s="49">
        <f t="shared" ref="DXL73:DZH73" si="104">DXH73*DXI73*DXJ73</f>
        <v>50</v>
      </c>
      <c r="DXM73" s="57">
        <f t="shared" ref="DXM73:DZI73" si="105">DXK73*DXL73</f>
        <v>18.5</v>
      </c>
      <c r="DXN73" s="59" t="s">
        <v>44</v>
      </c>
      <c r="DXO73" s="49" t="s">
        <v>44</v>
      </c>
      <c r="DXP73" s="51">
        <v>45117</v>
      </c>
      <c r="DXQ73" s="49"/>
      <c r="DXR73" s="49" t="s">
        <v>43</v>
      </c>
      <c r="DXS73" s="49" t="s">
        <v>45</v>
      </c>
      <c r="DXT73" s="49" t="s">
        <v>42</v>
      </c>
      <c r="DXU73" s="49" t="s">
        <v>0</v>
      </c>
      <c r="DXV73" s="49">
        <v>0</v>
      </c>
      <c r="DXW73" s="49">
        <v>1</v>
      </c>
      <c r="DXX73" s="58">
        <v>2.5</v>
      </c>
      <c r="DXY73" s="58">
        <v>5</v>
      </c>
      <c r="DXZ73" s="58">
        <v>4</v>
      </c>
      <c r="DYA73" s="49">
        <f>INDEX($T$2:$T$11,MATCH(DXW73,$R$2:$R$11,0))</f>
        <v>0.37</v>
      </c>
      <c r="DYB73" s="49">
        <f t="shared" si="104"/>
        <v>50</v>
      </c>
      <c r="DYC73" s="57">
        <f t="shared" si="105"/>
        <v>18.5</v>
      </c>
      <c r="DYD73" s="59" t="s">
        <v>44</v>
      </c>
      <c r="DYE73" s="49" t="s">
        <v>44</v>
      </c>
      <c r="DYF73" s="51">
        <v>45117</v>
      </c>
      <c r="DYG73" s="49"/>
      <c r="DYH73" s="49" t="s">
        <v>43</v>
      </c>
      <c r="DYI73" s="49" t="s">
        <v>45</v>
      </c>
      <c r="DYJ73" s="49" t="s">
        <v>42</v>
      </c>
      <c r="DYK73" s="49" t="s">
        <v>0</v>
      </c>
      <c r="DYL73" s="49">
        <v>0</v>
      </c>
      <c r="DYM73" s="49">
        <v>1</v>
      </c>
      <c r="DYN73" s="58">
        <v>2.5</v>
      </c>
      <c r="DYO73" s="58">
        <v>5</v>
      </c>
      <c r="DYP73" s="58">
        <v>4</v>
      </c>
      <c r="DYQ73" s="49">
        <f>INDEX($T$2:$T$11,MATCH(DYM73,$R$2:$R$11,0))</f>
        <v>0.37</v>
      </c>
      <c r="DYR73" s="49">
        <f t="shared" si="104"/>
        <v>50</v>
      </c>
      <c r="DYS73" s="57">
        <f t="shared" si="105"/>
        <v>18.5</v>
      </c>
      <c r="DYT73" s="59" t="s">
        <v>44</v>
      </c>
      <c r="DYU73" s="49" t="s">
        <v>44</v>
      </c>
      <c r="DYV73" s="51">
        <v>45117</v>
      </c>
      <c r="DYW73" s="49"/>
      <c r="DYX73" s="49" t="s">
        <v>43</v>
      </c>
      <c r="DYY73" s="49" t="s">
        <v>45</v>
      </c>
      <c r="DYZ73" s="49" t="s">
        <v>42</v>
      </c>
      <c r="DZA73" s="49" t="s">
        <v>0</v>
      </c>
      <c r="DZB73" s="49">
        <v>0</v>
      </c>
      <c r="DZC73" s="49">
        <v>1</v>
      </c>
      <c r="DZD73" s="58">
        <v>2.5</v>
      </c>
      <c r="DZE73" s="58">
        <v>5</v>
      </c>
      <c r="DZF73" s="58">
        <v>4</v>
      </c>
      <c r="DZG73" s="49">
        <f>INDEX($T$2:$T$11,MATCH(DZC73,$R$2:$R$11,0))</f>
        <v>0.37</v>
      </c>
      <c r="DZH73" s="49">
        <f t="shared" si="104"/>
        <v>50</v>
      </c>
      <c r="DZI73" s="57">
        <f t="shared" si="105"/>
        <v>18.5</v>
      </c>
      <c r="DZJ73" s="59" t="s">
        <v>44</v>
      </c>
      <c r="DZK73" s="49" t="s">
        <v>44</v>
      </c>
      <c r="DZL73" s="51">
        <v>45117</v>
      </c>
      <c r="DZM73" s="49"/>
      <c r="DZN73" s="49" t="s">
        <v>43</v>
      </c>
      <c r="DZO73" s="49" t="s">
        <v>45</v>
      </c>
      <c r="DZP73" s="49" t="s">
        <v>42</v>
      </c>
      <c r="DZQ73" s="49" t="s">
        <v>0</v>
      </c>
      <c r="DZR73" s="49">
        <v>0</v>
      </c>
      <c r="DZS73" s="49">
        <v>1</v>
      </c>
      <c r="DZT73" s="58">
        <v>2.5</v>
      </c>
      <c r="DZU73" s="58">
        <v>5</v>
      </c>
      <c r="DZV73" s="58">
        <v>4</v>
      </c>
      <c r="DZW73" s="49">
        <f>INDEX($T$2:$T$11,MATCH(DZS73,$R$2:$R$11,0))</f>
        <v>0.37</v>
      </c>
      <c r="DZX73" s="49">
        <f t="shared" ref="DZX73:EBT73" si="106">DZT73*DZU73*DZV73</f>
        <v>50</v>
      </c>
      <c r="DZY73" s="57">
        <f t="shared" ref="DZY73:EBU73" si="107">DZW73*DZX73</f>
        <v>18.5</v>
      </c>
      <c r="DZZ73" s="59" t="s">
        <v>44</v>
      </c>
      <c r="EAA73" s="49" t="s">
        <v>44</v>
      </c>
      <c r="EAB73" s="51">
        <v>45117</v>
      </c>
      <c r="EAC73" s="49"/>
      <c r="EAD73" s="49" t="s">
        <v>43</v>
      </c>
      <c r="EAE73" s="49" t="s">
        <v>45</v>
      </c>
      <c r="EAF73" s="49" t="s">
        <v>42</v>
      </c>
      <c r="EAG73" s="49" t="s">
        <v>0</v>
      </c>
      <c r="EAH73" s="49">
        <v>0</v>
      </c>
      <c r="EAI73" s="49">
        <v>1</v>
      </c>
      <c r="EAJ73" s="58">
        <v>2.5</v>
      </c>
      <c r="EAK73" s="58">
        <v>5</v>
      </c>
      <c r="EAL73" s="58">
        <v>4</v>
      </c>
      <c r="EAM73" s="49">
        <f>INDEX($T$2:$T$11,MATCH(EAI73,$R$2:$R$11,0))</f>
        <v>0.37</v>
      </c>
      <c r="EAN73" s="49">
        <f t="shared" si="106"/>
        <v>50</v>
      </c>
      <c r="EAO73" s="57">
        <f t="shared" si="107"/>
        <v>18.5</v>
      </c>
      <c r="EAP73" s="59" t="s">
        <v>44</v>
      </c>
      <c r="EAQ73" s="49" t="s">
        <v>44</v>
      </c>
      <c r="EAR73" s="51">
        <v>45117</v>
      </c>
      <c r="EAS73" s="49"/>
      <c r="EAT73" s="49" t="s">
        <v>43</v>
      </c>
      <c r="EAU73" s="49" t="s">
        <v>45</v>
      </c>
      <c r="EAV73" s="49" t="s">
        <v>42</v>
      </c>
      <c r="EAW73" s="49" t="s">
        <v>0</v>
      </c>
      <c r="EAX73" s="49">
        <v>0</v>
      </c>
      <c r="EAY73" s="49">
        <v>1</v>
      </c>
      <c r="EAZ73" s="58">
        <v>2.5</v>
      </c>
      <c r="EBA73" s="58">
        <v>5</v>
      </c>
      <c r="EBB73" s="58">
        <v>4</v>
      </c>
      <c r="EBC73" s="49">
        <f>INDEX($T$2:$T$11,MATCH(EAY73,$R$2:$R$11,0))</f>
        <v>0.37</v>
      </c>
      <c r="EBD73" s="49">
        <f t="shared" si="106"/>
        <v>50</v>
      </c>
      <c r="EBE73" s="57">
        <f t="shared" si="107"/>
        <v>18.5</v>
      </c>
      <c r="EBF73" s="59" t="s">
        <v>44</v>
      </c>
      <c r="EBG73" s="49" t="s">
        <v>44</v>
      </c>
      <c r="EBH73" s="51">
        <v>45117</v>
      </c>
      <c r="EBI73" s="49"/>
      <c r="EBJ73" s="49" t="s">
        <v>43</v>
      </c>
      <c r="EBK73" s="49" t="s">
        <v>45</v>
      </c>
      <c r="EBL73" s="49" t="s">
        <v>42</v>
      </c>
      <c r="EBM73" s="49" t="s">
        <v>0</v>
      </c>
      <c r="EBN73" s="49">
        <v>0</v>
      </c>
      <c r="EBO73" s="49">
        <v>1</v>
      </c>
      <c r="EBP73" s="58">
        <v>2.5</v>
      </c>
      <c r="EBQ73" s="58">
        <v>5</v>
      </c>
      <c r="EBR73" s="58">
        <v>4</v>
      </c>
      <c r="EBS73" s="49">
        <f>INDEX($T$2:$T$11,MATCH(EBO73,$R$2:$R$11,0))</f>
        <v>0.37</v>
      </c>
      <c r="EBT73" s="49">
        <f t="shared" si="106"/>
        <v>50</v>
      </c>
      <c r="EBU73" s="57">
        <f t="shared" si="107"/>
        <v>18.5</v>
      </c>
      <c r="EBV73" s="59" t="s">
        <v>44</v>
      </c>
      <c r="EBW73" s="49" t="s">
        <v>44</v>
      </c>
      <c r="EBX73" s="51">
        <v>45117</v>
      </c>
      <c r="EBY73" s="49"/>
      <c r="EBZ73" s="49" t="s">
        <v>43</v>
      </c>
      <c r="ECA73" s="49" t="s">
        <v>45</v>
      </c>
      <c r="ECB73" s="49" t="s">
        <v>42</v>
      </c>
      <c r="ECC73" s="49" t="s">
        <v>0</v>
      </c>
      <c r="ECD73" s="49">
        <v>0</v>
      </c>
      <c r="ECE73" s="49">
        <v>1</v>
      </c>
      <c r="ECF73" s="58">
        <v>2.5</v>
      </c>
      <c r="ECG73" s="58">
        <v>5</v>
      </c>
      <c r="ECH73" s="58">
        <v>4</v>
      </c>
      <c r="ECI73" s="49">
        <f>INDEX($T$2:$T$11,MATCH(ECE73,$R$2:$R$11,0))</f>
        <v>0.37</v>
      </c>
      <c r="ECJ73" s="49">
        <f t="shared" ref="ECJ73:EEF73" si="108">ECF73*ECG73*ECH73</f>
        <v>50</v>
      </c>
      <c r="ECK73" s="57">
        <f t="shared" ref="ECK73:EEG73" si="109">ECI73*ECJ73</f>
        <v>18.5</v>
      </c>
      <c r="ECL73" s="59" t="s">
        <v>44</v>
      </c>
      <c r="ECM73" s="49" t="s">
        <v>44</v>
      </c>
      <c r="ECN73" s="51">
        <v>45117</v>
      </c>
      <c r="ECO73" s="49"/>
      <c r="ECP73" s="49" t="s">
        <v>43</v>
      </c>
      <c r="ECQ73" s="49" t="s">
        <v>45</v>
      </c>
      <c r="ECR73" s="49" t="s">
        <v>42</v>
      </c>
      <c r="ECS73" s="49" t="s">
        <v>0</v>
      </c>
      <c r="ECT73" s="49">
        <v>0</v>
      </c>
      <c r="ECU73" s="49">
        <v>1</v>
      </c>
      <c r="ECV73" s="58">
        <v>2.5</v>
      </c>
      <c r="ECW73" s="58">
        <v>5</v>
      </c>
      <c r="ECX73" s="58">
        <v>4</v>
      </c>
      <c r="ECY73" s="49">
        <f>INDEX($T$2:$T$11,MATCH(ECU73,$R$2:$R$11,0))</f>
        <v>0.37</v>
      </c>
      <c r="ECZ73" s="49">
        <f t="shared" si="108"/>
        <v>50</v>
      </c>
      <c r="EDA73" s="57">
        <f t="shared" si="109"/>
        <v>18.5</v>
      </c>
      <c r="EDB73" s="59" t="s">
        <v>44</v>
      </c>
      <c r="EDC73" s="49" t="s">
        <v>44</v>
      </c>
      <c r="EDD73" s="51">
        <v>45117</v>
      </c>
      <c r="EDE73" s="49"/>
      <c r="EDF73" s="49" t="s">
        <v>43</v>
      </c>
      <c r="EDG73" s="49" t="s">
        <v>45</v>
      </c>
      <c r="EDH73" s="49" t="s">
        <v>42</v>
      </c>
      <c r="EDI73" s="49" t="s">
        <v>0</v>
      </c>
      <c r="EDJ73" s="49">
        <v>0</v>
      </c>
      <c r="EDK73" s="49">
        <v>1</v>
      </c>
      <c r="EDL73" s="58">
        <v>2.5</v>
      </c>
      <c r="EDM73" s="58">
        <v>5</v>
      </c>
      <c r="EDN73" s="58">
        <v>4</v>
      </c>
      <c r="EDO73" s="49">
        <f>INDEX($T$2:$T$11,MATCH(EDK73,$R$2:$R$11,0))</f>
        <v>0.37</v>
      </c>
      <c r="EDP73" s="49">
        <f t="shared" si="108"/>
        <v>50</v>
      </c>
      <c r="EDQ73" s="57">
        <f t="shared" si="109"/>
        <v>18.5</v>
      </c>
      <c r="EDR73" s="59" t="s">
        <v>44</v>
      </c>
      <c r="EDS73" s="49" t="s">
        <v>44</v>
      </c>
      <c r="EDT73" s="51">
        <v>45117</v>
      </c>
      <c r="EDU73" s="49"/>
      <c r="EDV73" s="49" t="s">
        <v>43</v>
      </c>
      <c r="EDW73" s="49" t="s">
        <v>45</v>
      </c>
      <c r="EDX73" s="49" t="s">
        <v>42</v>
      </c>
      <c r="EDY73" s="49" t="s">
        <v>0</v>
      </c>
      <c r="EDZ73" s="49">
        <v>0</v>
      </c>
      <c r="EEA73" s="49">
        <v>1</v>
      </c>
      <c r="EEB73" s="58">
        <v>2.5</v>
      </c>
      <c r="EEC73" s="58">
        <v>5</v>
      </c>
      <c r="EED73" s="58">
        <v>4</v>
      </c>
      <c r="EEE73" s="49">
        <f>INDEX($T$2:$T$11,MATCH(EEA73,$R$2:$R$11,0))</f>
        <v>0.37</v>
      </c>
      <c r="EEF73" s="49">
        <f t="shared" si="108"/>
        <v>50</v>
      </c>
      <c r="EEG73" s="57">
        <f t="shared" si="109"/>
        <v>18.5</v>
      </c>
      <c r="EEH73" s="59" t="s">
        <v>44</v>
      </c>
      <c r="EEI73" s="49" t="s">
        <v>44</v>
      </c>
      <c r="EEJ73" s="51">
        <v>45117</v>
      </c>
      <c r="EEK73" s="49"/>
      <c r="EEL73" s="49" t="s">
        <v>43</v>
      </c>
      <c r="EEM73" s="49" t="s">
        <v>45</v>
      </c>
      <c r="EEN73" s="49" t="s">
        <v>42</v>
      </c>
      <c r="EEO73" s="49" t="s">
        <v>0</v>
      </c>
      <c r="EEP73" s="49">
        <v>0</v>
      </c>
      <c r="EEQ73" s="49">
        <v>1</v>
      </c>
      <c r="EER73" s="58">
        <v>2.5</v>
      </c>
      <c r="EES73" s="58">
        <v>5</v>
      </c>
      <c r="EET73" s="58">
        <v>4</v>
      </c>
      <c r="EEU73" s="49">
        <f>INDEX($T$2:$T$11,MATCH(EEQ73,$R$2:$R$11,0))</f>
        <v>0.37</v>
      </c>
      <c r="EEV73" s="49">
        <f t="shared" ref="EEV73:EGR73" si="110">EER73*EES73*EET73</f>
        <v>50</v>
      </c>
      <c r="EEW73" s="57">
        <f t="shared" ref="EEW73:EGS73" si="111">EEU73*EEV73</f>
        <v>18.5</v>
      </c>
      <c r="EEX73" s="59" t="s">
        <v>44</v>
      </c>
      <c r="EEY73" s="49" t="s">
        <v>44</v>
      </c>
      <c r="EEZ73" s="51">
        <v>45117</v>
      </c>
      <c r="EFA73" s="49"/>
      <c r="EFB73" s="49" t="s">
        <v>43</v>
      </c>
      <c r="EFC73" s="49" t="s">
        <v>45</v>
      </c>
      <c r="EFD73" s="49" t="s">
        <v>42</v>
      </c>
      <c r="EFE73" s="49" t="s">
        <v>0</v>
      </c>
      <c r="EFF73" s="49">
        <v>0</v>
      </c>
      <c r="EFG73" s="49">
        <v>1</v>
      </c>
      <c r="EFH73" s="58">
        <v>2.5</v>
      </c>
      <c r="EFI73" s="58">
        <v>5</v>
      </c>
      <c r="EFJ73" s="58">
        <v>4</v>
      </c>
      <c r="EFK73" s="49">
        <f>INDEX($T$2:$T$11,MATCH(EFG73,$R$2:$R$11,0))</f>
        <v>0.37</v>
      </c>
      <c r="EFL73" s="49">
        <f t="shared" si="110"/>
        <v>50</v>
      </c>
      <c r="EFM73" s="57">
        <f t="shared" si="111"/>
        <v>18.5</v>
      </c>
      <c r="EFN73" s="59" t="s">
        <v>44</v>
      </c>
      <c r="EFO73" s="49" t="s">
        <v>44</v>
      </c>
      <c r="EFP73" s="51">
        <v>45117</v>
      </c>
      <c r="EFQ73" s="49"/>
      <c r="EFR73" s="49" t="s">
        <v>43</v>
      </c>
      <c r="EFS73" s="49" t="s">
        <v>45</v>
      </c>
      <c r="EFT73" s="49" t="s">
        <v>42</v>
      </c>
      <c r="EFU73" s="49" t="s">
        <v>0</v>
      </c>
      <c r="EFV73" s="49">
        <v>0</v>
      </c>
      <c r="EFW73" s="49">
        <v>1</v>
      </c>
      <c r="EFX73" s="58">
        <v>2.5</v>
      </c>
      <c r="EFY73" s="58">
        <v>5</v>
      </c>
      <c r="EFZ73" s="58">
        <v>4</v>
      </c>
      <c r="EGA73" s="49">
        <f>INDEX($T$2:$T$11,MATCH(EFW73,$R$2:$R$11,0))</f>
        <v>0.37</v>
      </c>
      <c r="EGB73" s="49">
        <f t="shared" si="110"/>
        <v>50</v>
      </c>
      <c r="EGC73" s="57">
        <f t="shared" si="111"/>
        <v>18.5</v>
      </c>
      <c r="EGD73" s="59" t="s">
        <v>44</v>
      </c>
      <c r="EGE73" s="49" t="s">
        <v>44</v>
      </c>
      <c r="EGF73" s="51">
        <v>45117</v>
      </c>
      <c r="EGG73" s="49"/>
      <c r="EGH73" s="49" t="s">
        <v>43</v>
      </c>
      <c r="EGI73" s="49" t="s">
        <v>45</v>
      </c>
      <c r="EGJ73" s="49" t="s">
        <v>42</v>
      </c>
      <c r="EGK73" s="49" t="s">
        <v>0</v>
      </c>
      <c r="EGL73" s="49">
        <v>0</v>
      </c>
      <c r="EGM73" s="49">
        <v>1</v>
      </c>
      <c r="EGN73" s="58">
        <v>2.5</v>
      </c>
      <c r="EGO73" s="58">
        <v>5</v>
      </c>
      <c r="EGP73" s="58">
        <v>4</v>
      </c>
      <c r="EGQ73" s="49">
        <f>INDEX($T$2:$T$11,MATCH(EGM73,$R$2:$R$11,0))</f>
        <v>0.37</v>
      </c>
      <c r="EGR73" s="49">
        <f t="shared" si="110"/>
        <v>50</v>
      </c>
      <c r="EGS73" s="57">
        <f t="shared" si="111"/>
        <v>18.5</v>
      </c>
      <c r="EGT73" s="59" t="s">
        <v>44</v>
      </c>
      <c r="EGU73" s="49" t="s">
        <v>44</v>
      </c>
      <c r="EGV73" s="51">
        <v>45117</v>
      </c>
      <c r="EGW73" s="49"/>
      <c r="EGX73" s="49" t="s">
        <v>43</v>
      </c>
      <c r="EGY73" s="49" t="s">
        <v>45</v>
      </c>
      <c r="EGZ73" s="49" t="s">
        <v>42</v>
      </c>
      <c r="EHA73" s="49" t="s">
        <v>0</v>
      </c>
      <c r="EHB73" s="49">
        <v>0</v>
      </c>
      <c r="EHC73" s="49">
        <v>1</v>
      </c>
      <c r="EHD73" s="58">
        <v>2.5</v>
      </c>
      <c r="EHE73" s="58">
        <v>5</v>
      </c>
      <c r="EHF73" s="58">
        <v>4</v>
      </c>
      <c r="EHG73" s="49">
        <f>INDEX($T$2:$T$11,MATCH(EHC73,$R$2:$R$11,0))</f>
        <v>0.37</v>
      </c>
      <c r="EHH73" s="49">
        <f t="shared" ref="EHH73:EJD73" si="112">EHD73*EHE73*EHF73</f>
        <v>50</v>
      </c>
      <c r="EHI73" s="57">
        <f t="shared" ref="EHI73:EJE73" si="113">EHG73*EHH73</f>
        <v>18.5</v>
      </c>
      <c r="EHJ73" s="59" t="s">
        <v>44</v>
      </c>
      <c r="EHK73" s="49" t="s">
        <v>44</v>
      </c>
      <c r="EHL73" s="51">
        <v>45117</v>
      </c>
      <c r="EHM73" s="49"/>
      <c r="EHN73" s="49" t="s">
        <v>43</v>
      </c>
      <c r="EHO73" s="49" t="s">
        <v>45</v>
      </c>
      <c r="EHP73" s="49" t="s">
        <v>42</v>
      </c>
      <c r="EHQ73" s="49" t="s">
        <v>0</v>
      </c>
      <c r="EHR73" s="49">
        <v>0</v>
      </c>
      <c r="EHS73" s="49">
        <v>1</v>
      </c>
      <c r="EHT73" s="58">
        <v>2.5</v>
      </c>
      <c r="EHU73" s="58">
        <v>5</v>
      </c>
      <c r="EHV73" s="58">
        <v>4</v>
      </c>
      <c r="EHW73" s="49">
        <f>INDEX($T$2:$T$11,MATCH(EHS73,$R$2:$R$11,0))</f>
        <v>0.37</v>
      </c>
      <c r="EHX73" s="49">
        <f t="shared" si="112"/>
        <v>50</v>
      </c>
      <c r="EHY73" s="57">
        <f t="shared" si="113"/>
        <v>18.5</v>
      </c>
      <c r="EHZ73" s="59" t="s">
        <v>44</v>
      </c>
      <c r="EIA73" s="49" t="s">
        <v>44</v>
      </c>
      <c r="EIB73" s="51">
        <v>45117</v>
      </c>
      <c r="EIC73" s="49"/>
      <c r="EID73" s="49" t="s">
        <v>43</v>
      </c>
      <c r="EIE73" s="49" t="s">
        <v>45</v>
      </c>
      <c r="EIF73" s="49" t="s">
        <v>42</v>
      </c>
      <c r="EIG73" s="49" t="s">
        <v>0</v>
      </c>
      <c r="EIH73" s="49">
        <v>0</v>
      </c>
      <c r="EII73" s="49">
        <v>1</v>
      </c>
      <c r="EIJ73" s="58">
        <v>2.5</v>
      </c>
      <c r="EIK73" s="58">
        <v>5</v>
      </c>
      <c r="EIL73" s="58">
        <v>4</v>
      </c>
      <c r="EIM73" s="49">
        <f>INDEX($T$2:$T$11,MATCH(EII73,$R$2:$R$11,0))</f>
        <v>0.37</v>
      </c>
      <c r="EIN73" s="49">
        <f t="shared" si="112"/>
        <v>50</v>
      </c>
      <c r="EIO73" s="57">
        <f t="shared" si="113"/>
        <v>18.5</v>
      </c>
      <c r="EIP73" s="59" t="s">
        <v>44</v>
      </c>
      <c r="EIQ73" s="49" t="s">
        <v>44</v>
      </c>
      <c r="EIR73" s="51">
        <v>45117</v>
      </c>
      <c r="EIS73" s="49"/>
      <c r="EIT73" s="49" t="s">
        <v>43</v>
      </c>
      <c r="EIU73" s="49" t="s">
        <v>45</v>
      </c>
      <c r="EIV73" s="49" t="s">
        <v>42</v>
      </c>
      <c r="EIW73" s="49" t="s">
        <v>0</v>
      </c>
      <c r="EIX73" s="49">
        <v>0</v>
      </c>
      <c r="EIY73" s="49">
        <v>1</v>
      </c>
      <c r="EIZ73" s="58">
        <v>2.5</v>
      </c>
      <c r="EJA73" s="58">
        <v>5</v>
      </c>
      <c r="EJB73" s="58">
        <v>4</v>
      </c>
      <c r="EJC73" s="49">
        <f>INDEX($T$2:$T$11,MATCH(EIY73,$R$2:$R$11,0))</f>
        <v>0.37</v>
      </c>
      <c r="EJD73" s="49">
        <f t="shared" si="112"/>
        <v>50</v>
      </c>
      <c r="EJE73" s="57">
        <f t="shared" si="113"/>
        <v>18.5</v>
      </c>
      <c r="EJF73" s="59" t="s">
        <v>44</v>
      </c>
      <c r="EJG73" s="49" t="s">
        <v>44</v>
      </c>
      <c r="EJH73" s="51">
        <v>45117</v>
      </c>
      <c r="EJI73" s="49"/>
      <c r="EJJ73" s="49" t="s">
        <v>43</v>
      </c>
      <c r="EJK73" s="49" t="s">
        <v>45</v>
      </c>
      <c r="EJL73" s="49" t="s">
        <v>42</v>
      </c>
      <c r="EJM73" s="49" t="s">
        <v>0</v>
      </c>
      <c r="EJN73" s="49">
        <v>0</v>
      </c>
      <c r="EJO73" s="49">
        <v>1</v>
      </c>
      <c r="EJP73" s="58">
        <v>2.5</v>
      </c>
      <c r="EJQ73" s="58">
        <v>5</v>
      </c>
      <c r="EJR73" s="58">
        <v>4</v>
      </c>
      <c r="EJS73" s="49">
        <f>INDEX($T$2:$T$11,MATCH(EJO73,$R$2:$R$11,0))</f>
        <v>0.37</v>
      </c>
      <c r="EJT73" s="49">
        <f t="shared" ref="EJT73:ELP73" si="114">EJP73*EJQ73*EJR73</f>
        <v>50</v>
      </c>
      <c r="EJU73" s="57">
        <f t="shared" ref="EJU73:ELQ73" si="115">EJS73*EJT73</f>
        <v>18.5</v>
      </c>
      <c r="EJV73" s="59" t="s">
        <v>44</v>
      </c>
      <c r="EJW73" s="49" t="s">
        <v>44</v>
      </c>
      <c r="EJX73" s="51">
        <v>45117</v>
      </c>
      <c r="EJY73" s="49"/>
      <c r="EJZ73" s="49" t="s">
        <v>43</v>
      </c>
      <c r="EKA73" s="49" t="s">
        <v>45</v>
      </c>
      <c r="EKB73" s="49" t="s">
        <v>42</v>
      </c>
      <c r="EKC73" s="49" t="s">
        <v>0</v>
      </c>
      <c r="EKD73" s="49">
        <v>0</v>
      </c>
      <c r="EKE73" s="49">
        <v>1</v>
      </c>
      <c r="EKF73" s="58">
        <v>2.5</v>
      </c>
      <c r="EKG73" s="58">
        <v>5</v>
      </c>
      <c r="EKH73" s="58">
        <v>4</v>
      </c>
      <c r="EKI73" s="49">
        <f>INDEX($T$2:$T$11,MATCH(EKE73,$R$2:$R$11,0))</f>
        <v>0.37</v>
      </c>
      <c r="EKJ73" s="49">
        <f t="shared" si="114"/>
        <v>50</v>
      </c>
      <c r="EKK73" s="57">
        <f t="shared" si="115"/>
        <v>18.5</v>
      </c>
      <c r="EKL73" s="59" t="s">
        <v>44</v>
      </c>
      <c r="EKM73" s="49" t="s">
        <v>44</v>
      </c>
      <c r="EKN73" s="51">
        <v>45117</v>
      </c>
      <c r="EKO73" s="49"/>
      <c r="EKP73" s="49" t="s">
        <v>43</v>
      </c>
      <c r="EKQ73" s="49" t="s">
        <v>45</v>
      </c>
      <c r="EKR73" s="49" t="s">
        <v>42</v>
      </c>
      <c r="EKS73" s="49" t="s">
        <v>0</v>
      </c>
      <c r="EKT73" s="49">
        <v>0</v>
      </c>
      <c r="EKU73" s="49">
        <v>1</v>
      </c>
      <c r="EKV73" s="58">
        <v>2.5</v>
      </c>
      <c r="EKW73" s="58">
        <v>5</v>
      </c>
      <c r="EKX73" s="58">
        <v>4</v>
      </c>
      <c r="EKY73" s="49">
        <f>INDEX($T$2:$T$11,MATCH(EKU73,$R$2:$R$11,0))</f>
        <v>0.37</v>
      </c>
      <c r="EKZ73" s="49">
        <f t="shared" si="114"/>
        <v>50</v>
      </c>
      <c r="ELA73" s="57">
        <f t="shared" si="115"/>
        <v>18.5</v>
      </c>
      <c r="ELB73" s="59" t="s">
        <v>44</v>
      </c>
      <c r="ELC73" s="49" t="s">
        <v>44</v>
      </c>
      <c r="ELD73" s="51">
        <v>45117</v>
      </c>
      <c r="ELE73" s="49"/>
      <c r="ELF73" s="49" t="s">
        <v>43</v>
      </c>
      <c r="ELG73" s="49" t="s">
        <v>45</v>
      </c>
      <c r="ELH73" s="49" t="s">
        <v>42</v>
      </c>
      <c r="ELI73" s="49" t="s">
        <v>0</v>
      </c>
      <c r="ELJ73" s="49">
        <v>0</v>
      </c>
      <c r="ELK73" s="49">
        <v>1</v>
      </c>
      <c r="ELL73" s="58">
        <v>2.5</v>
      </c>
      <c r="ELM73" s="58">
        <v>5</v>
      </c>
      <c r="ELN73" s="58">
        <v>4</v>
      </c>
      <c r="ELO73" s="49">
        <f>INDEX($T$2:$T$11,MATCH(ELK73,$R$2:$R$11,0))</f>
        <v>0.37</v>
      </c>
      <c r="ELP73" s="49">
        <f t="shared" si="114"/>
        <v>50</v>
      </c>
      <c r="ELQ73" s="57">
        <f t="shared" si="115"/>
        <v>18.5</v>
      </c>
      <c r="ELR73" s="59" t="s">
        <v>44</v>
      </c>
      <c r="ELS73" s="49" t="s">
        <v>44</v>
      </c>
      <c r="ELT73" s="51">
        <v>45117</v>
      </c>
      <c r="ELU73" s="49"/>
      <c r="ELV73" s="49" t="s">
        <v>43</v>
      </c>
      <c r="ELW73" s="49" t="s">
        <v>45</v>
      </c>
      <c r="ELX73" s="49" t="s">
        <v>42</v>
      </c>
      <c r="ELY73" s="49" t="s">
        <v>0</v>
      </c>
      <c r="ELZ73" s="49">
        <v>0</v>
      </c>
      <c r="EMA73" s="49">
        <v>1</v>
      </c>
      <c r="EMB73" s="58">
        <v>2.5</v>
      </c>
      <c r="EMC73" s="58">
        <v>5</v>
      </c>
      <c r="EMD73" s="58">
        <v>4</v>
      </c>
      <c r="EME73" s="49">
        <f>INDEX($T$2:$T$11,MATCH(EMA73,$R$2:$R$11,0))</f>
        <v>0.37</v>
      </c>
      <c r="EMF73" s="49">
        <f t="shared" ref="EMF73:EOB73" si="116">EMB73*EMC73*EMD73</f>
        <v>50</v>
      </c>
      <c r="EMG73" s="57">
        <f t="shared" ref="EMG73:EOC73" si="117">EME73*EMF73</f>
        <v>18.5</v>
      </c>
      <c r="EMH73" s="59" t="s">
        <v>44</v>
      </c>
      <c r="EMI73" s="49" t="s">
        <v>44</v>
      </c>
      <c r="EMJ73" s="51">
        <v>45117</v>
      </c>
      <c r="EMK73" s="49"/>
      <c r="EML73" s="49" t="s">
        <v>43</v>
      </c>
      <c r="EMM73" s="49" t="s">
        <v>45</v>
      </c>
      <c r="EMN73" s="49" t="s">
        <v>42</v>
      </c>
      <c r="EMO73" s="49" t="s">
        <v>0</v>
      </c>
      <c r="EMP73" s="49">
        <v>0</v>
      </c>
      <c r="EMQ73" s="49">
        <v>1</v>
      </c>
      <c r="EMR73" s="58">
        <v>2.5</v>
      </c>
      <c r="EMS73" s="58">
        <v>5</v>
      </c>
      <c r="EMT73" s="58">
        <v>4</v>
      </c>
      <c r="EMU73" s="49">
        <f>INDEX($T$2:$T$11,MATCH(EMQ73,$R$2:$R$11,0))</f>
        <v>0.37</v>
      </c>
      <c r="EMV73" s="49">
        <f t="shared" si="116"/>
        <v>50</v>
      </c>
      <c r="EMW73" s="57">
        <f t="shared" si="117"/>
        <v>18.5</v>
      </c>
      <c r="EMX73" s="59" t="s">
        <v>44</v>
      </c>
      <c r="EMY73" s="49" t="s">
        <v>44</v>
      </c>
      <c r="EMZ73" s="51">
        <v>45117</v>
      </c>
      <c r="ENA73" s="49"/>
      <c r="ENB73" s="49" t="s">
        <v>43</v>
      </c>
      <c r="ENC73" s="49" t="s">
        <v>45</v>
      </c>
      <c r="END73" s="49" t="s">
        <v>42</v>
      </c>
      <c r="ENE73" s="49" t="s">
        <v>0</v>
      </c>
      <c r="ENF73" s="49">
        <v>0</v>
      </c>
      <c r="ENG73" s="49">
        <v>1</v>
      </c>
      <c r="ENH73" s="58">
        <v>2.5</v>
      </c>
      <c r="ENI73" s="58">
        <v>5</v>
      </c>
      <c r="ENJ73" s="58">
        <v>4</v>
      </c>
      <c r="ENK73" s="49">
        <f>INDEX($T$2:$T$11,MATCH(ENG73,$R$2:$R$11,0))</f>
        <v>0.37</v>
      </c>
      <c r="ENL73" s="49">
        <f t="shared" si="116"/>
        <v>50</v>
      </c>
      <c r="ENM73" s="57">
        <f t="shared" si="117"/>
        <v>18.5</v>
      </c>
      <c r="ENN73" s="59" t="s">
        <v>44</v>
      </c>
      <c r="ENO73" s="49" t="s">
        <v>44</v>
      </c>
      <c r="ENP73" s="51">
        <v>45117</v>
      </c>
      <c r="ENQ73" s="49"/>
      <c r="ENR73" s="49" t="s">
        <v>43</v>
      </c>
      <c r="ENS73" s="49" t="s">
        <v>45</v>
      </c>
      <c r="ENT73" s="49" t="s">
        <v>42</v>
      </c>
      <c r="ENU73" s="49" t="s">
        <v>0</v>
      </c>
      <c r="ENV73" s="49">
        <v>0</v>
      </c>
      <c r="ENW73" s="49">
        <v>1</v>
      </c>
      <c r="ENX73" s="58">
        <v>2.5</v>
      </c>
      <c r="ENY73" s="58">
        <v>5</v>
      </c>
      <c r="ENZ73" s="58">
        <v>4</v>
      </c>
      <c r="EOA73" s="49">
        <f>INDEX($T$2:$T$11,MATCH(ENW73,$R$2:$R$11,0))</f>
        <v>0.37</v>
      </c>
      <c r="EOB73" s="49">
        <f t="shared" si="116"/>
        <v>50</v>
      </c>
      <c r="EOC73" s="57">
        <f t="shared" si="117"/>
        <v>18.5</v>
      </c>
      <c r="EOD73" s="59" t="s">
        <v>44</v>
      </c>
      <c r="EOE73" s="49" t="s">
        <v>44</v>
      </c>
      <c r="EOF73" s="51">
        <v>45117</v>
      </c>
      <c r="EOG73" s="49"/>
      <c r="EOH73" s="49" t="s">
        <v>43</v>
      </c>
      <c r="EOI73" s="49" t="s">
        <v>45</v>
      </c>
      <c r="EOJ73" s="49" t="s">
        <v>42</v>
      </c>
      <c r="EOK73" s="49" t="s">
        <v>0</v>
      </c>
      <c r="EOL73" s="49">
        <v>0</v>
      </c>
      <c r="EOM73" s="49">
        <v>1</v>
      </c>
      <c r="EON73" s="58">
        <v>2.5</v>
      </c>
      <c r="EOO73" s="58">
        <v>5</v>
      </c>
      <c r="EOP73" s="58">
        <v>4</v>
      </c>
      <c r="EOQ73" s="49">
        <f>INDEX($T$2:$T$11,MATCH(EOM73,$R$2:$R$11,0))</f>
        <v>0.37</v>
      </c>
      <c r="EOR73" s="49">
        <f t="shared" ref="EOR73:EQN73" si="118">EON73*EOO73*EOP73</f>
        <v>50</v>
      </c>
      <c r="EOS73" s="57">
        <f t="shared" ref="EOS73:EQO73" si="119">EOQ73*EOR73</f>
        <v>18.5</v>
      </c>
      <c r="EOT73" s="59" t="s">
        <v>44</v>
      </c>
      <c r="EOU73" s="49" t="s">
        <v>44</v>
      </c>
      <c r="EOV73" s="51">
        <v>45117</v>
      </c>
      <c r="EOW73" s="49"/>
      <c r="EOX73" s="49" t="s">
        <v>43</v>
      </c>
      <c r="EOY73" s="49" t="s">
        <v>45</v>
      </c>
      <c r="EOZ73" s="49" t="s">
        <v>42</v>
      </c>
      <c r="EPA73" s="49" t="s">
        <v>0</v>
      </c>
      <c r="EPB73" s="49">
        <v>0</v>
      </c>
      <c r="EPC73" s="49">
        <v>1</v>
      </c>
      <c r="EPD73" s="58">
        <v>2.5</v>
      </c>
      <c r="EPE73" s="58">
        <v>5</v>
      </c>
      <c r="EPF73" s="58">
        <v>4</v>
      </c>
      <c r="EPG73" s="49">
        <f>INDEX($T$2:$T$11,MATCH(EPC73,$R$2:$R$11,0))</f>
        <v>0.37</v>
      </c>
      <c r="EPH73" s="49">
        <f t="shared" si="118"/>
        <v>50</v>
      </c>
      <c r="EPI73" s="57">
        <f t="shared" si="119"/>
        <v>18.5</v>
      </c>
      <c r="EPJ73" s="59" t="s">
        <v>44</v>
      </c>
      <c r="EPK73" s="49" t="s">
        <v>44</v>
      </c>
      <c r="EPL73" s="51">
        <v>45117</v>
      </c>
      <c r="EPM73" s="49"/>
      <c r="EPN73" s="49" t="s">
        <v>43</v>
      </c>
      <c r="EPO73" s="49" t="s">
        <v>45</v>
      </c>
      <c r="EPP73" s="49" t="s">
        <v>42</v>
      </c>
      <c r="EPQ73" s="49" t="s">
        <v>0</v>
      </c>
      <c r="EPR73" s="49">
        <v>0</v>
      </c>
      <c r="EPS73" s="49">
        <v>1</v>
      </c>
      <c r="EPT73" s="58">
        <v>2.5</v>
      </c>
      <c r="EPU73" s="58">
        <v>5</v>
      </c>
      <c r="EPV73" s="58">
        <v>4</v>
      </c>
      <c r="EPW73" s="49">
        <f>INDEX($T$2:$T$11,MATCH(EPS73,$R$2:$R$11,0))</f>
        <v>0.37</v>
      </c>
      <c r="EPX73" s="49">
        <f t="shared" si="118"/>
        <v>50</v>
      </c>
      <c r="EPY73" s="57">
        <f t="shared" si="119"/>
        <v>18.5</v>
      </c>
      <c r="EPZ73" s="59" t="s">
        <v>44</v>
      </c>
      <c r="EQA73" s="49" t="s">
        <v>44</v>
      </c>
      <c r="EQB73" s="51">
        <v>45117</v>
      </c>
      <c r="EQC73" s="49"/>
      <c r="EQD73" s="49" t="s">
        <v>43</v>
      </c>
      <c r="EQE73" s="49" t="s">
        <v>45</v>
      </c>
      <c r="EQF73" s="49" t="s">
        <v>42</v>
      </c>
      <c r="EQG73" s="49" t="s">
        <v>0</v>
      </c>
      <c r="EQH73" s="49">
        <v>0</v>
      </c>
      <c r="EQI73" s="49">
        <v>1</v>
      </c>
      <c r="EQJ73" s="58">
        <v>2.5</v>
      </c>
      <c r="EQK73" s="58">
        <v>5</v>
      </c>
      <c r="EQL73" s="58">
        <v>4</v>
      </c>
      <c r="EQM73" s="49">
        <f>INDEX($T$2:$T$11,MATCH(EQI73,$R$2:$R$11,0))</f>
        <v>0.37</v>
      </c>
      <c r="EQN73" s="49">
        <f t="shared" si="118"/>
        <v>50</v>
      </c>
      <c r="EQO73" s="57">
        <f t="shared" si="119"/>
        <v>18.5</v>
      </c>
      <c r="EQP73" s="59" t="s">
        <v>44</v>
      </c>
      <c r="EQQ73" s="49" t="s">
        <v>44</v>
      </c>
      <c r="EQR73" s="51">
        <v>45117</v>
      </c>
      <c r="EQS73" s="49"/>
      <c r="EQT73" s="49" t="s">
        <v>43</v>
      </c>
      <c r="EQU73" s="49" t="s">
        <v>45</v>
      </c>
      <c r="EQV73" s="49" t="s">
        <v>42</v>
      </c>
      <c r="EQW73" s="49" t="s">
        <v>0</v>
      </c>
      <c r="EQX73" s="49">
        <v>0</v>
      </c>
      <c r="EQY73" s="49">
        <v>1</v>
      </c>
      <c r="EQZ73" s="58">
        <v>2.5</v>
      </c>
      <c r="ERA73" s="58">
        <v>5</v>
      </c>
      <c r="ERB73" s="58">
        <v>4</v>
      </c>
      <c r="ERC73" s="49">
        <f>INDEX($T$2:$T$11,MATCH(EQY73,$R$2:$R$11,0))</f>
        <v>0.37</v>
      </c>
      <c r="ERD73" s="49">
        <f t="shared" ref="ERD73:ESZ73" si="120">EQZ73*ERA73*ERB73</f>
        <v>50</v>
      </c>
      <c r="ERE73" s="57">
        <f t="shared" ref="ERE73:ETA73" si="121">ERC73*ERD73</f>
        <v>18.5</v>
      </c>
      <c r="ERF73" s="59" t="s">
        <v>44</v>
      </c>
      <c r="ERG73" s="49" t="s">
        <v>44</v>
      </c>
      <c r="ERH73" s="51">
        <v>45117</v>
      </c>
      <c r="ERI73" s="49"/>
      <c r="ERJ73" s="49" t="s">
        <v>43</v>
      </c>
      <c r="ERK73" s="49" t="s">
        <v>45</v>
      </c>
      <c r="ERL73" s="49" t="s">
        <v>42</v>
      </c>
      <c r="ERM73" s="49" t="s">
        <v>0</v>
      </c>
      <c r="ERN73" s="49">
        <v>0</v>
      </c>
      <c r="ERO73" s="49">
        <v>1</v>
      </c>
      <c r="ERP73" s="58">
        <v>2.5</v>
      </c>
      <c r="ERQ73" s="58">
        <v>5</v>
      </c>
      <c r="ERR73" s="58">
        <v>4</v>
      </c>
      <c r="ERS73" s="49">
        <f>INDEX($T$2:$T$11,MATCH(ERO73,$R$2:$R$11,0))</f>
        <v>0.37</v>
      </c>
      <c r="ERT73" s="49">
        <f t="shared" si="120"/>
        <v>50</v>
      </c>
      <c r="ERU73" s="57">
        <f t="shared" si="121"/>
        <v>18.5</v>
      </c>
      <c r="ERV73" s="59" t="s">
        <v>44</v>
      </c>
      <c r="ERW73" s="49" t="s">
        <v>44</v>
      </c>
      <c r="ERX73" s="51">
        <v>45117</v>
      </c>
      <c r="ERY73" s="49"/>
      <c r="ERZ73" s="49" t="s">
        <v>43</v>
      </c>
      <c r="ESA73" s="49" t="s">
        <v>45</v>
      </c>
      <c r="ESB73" s="49" t="s">
        <v>42</v>
      </c>
      <c r="ESC73" s="49" t="s">
        <v>0</v>
      </c>
      <c r="ESD73" s="49">
        <v>0</v>
      </c>
      <c r="ESE73" s="49">
        <v>1</v>
      </c>
      <c r="ESF73" s="58">
        <v>2.5</v>
      </c>
      <c r="ESG73" s="58">
        <v>5</v>
      </c>
      <c r="ESH73" s="58">
        <v>4</v>
      </c>
      <c r="ESI73" s="49">
        <f>INDEX($T$2:$T$11,MATCH(ESE73,$R$2:$R$11,0))</f>
        <v>0.37</v>
      </c>
      <c r="ESJ73" s="49">
        <f t="shared" si="120"/>
        <v>50</v>
      </c>
      <c r="ESK73" s="57">
        <f t="shared" si="121"/>
        <v>18.5</v>
      </c>
      <c r="ESL73" s="59" t="s">
        <v>44</v>
      </c>
      <c r="ESM73" s="49" t="s">
        <v>44</v>
      </c>
      <c r="ESN73" s="51">
        <v>45117</v>
      </c>
      <c r="ESO73" s="49"/>
      <c r="ESP73" s="49" t="s">
        <v>43</v>
      </c>
      <c r="ESQ73" s="49" t="s">
        <v>45</v>
      </c>
      <c r="ESR73" s="49" t="s">
        <v>42</v>
      </c>
      <c r="ESS73" s="49" t="s">
        <v>0</v>
      </c>
      <c r="EST73" s="49">
        <v>0</v>
      </c>
      <c r="ESU73" s="49">
        <v>1</v>
      </c>
      <c r="ESV73" s="58">
        <v>2.5</v>
      </c>
      <c r="ESW73" s="58">
        <v>5</v>
      </c>
      <c r="ESX73" s="58">
        <v>4</v>
      </c>
      <c r="ESY73" s="49">
        <f>INDEX($T$2:$T$11,MATCH(ESU73,$R$2:$R$11,0))</f>
        <v>0.37</v>
      </c>
      <c r="ESZ73" s="49">
        <f t="shared" si="120"/>
        <v>50</v>
      </c>
      <c r="ETA73" s="57">
        <f t="shared" si="121"/>
        <v>18.5</v>
      </c>
      <c r="ETB73" s="59" t="s">
        <v>44</v>
      </c>
      <c r="ETC73" s="49" t="s">
        <v>44</v>
      </c>
      <c r="ETD73" s="51">
        <v>45117</v>
      </c>
      <c r="ETE73" s="49"/>
      <c r="ETF73" s="49" t="s">
        <v>43</v>
      </c>
      <c r="ETG73" s="49" t="s">
        <v>45</v>
      </c>
      <c r="ETH73" s="49" t="s">
        <v>42</v>
      </c>
      <c r="ETI73" s="49" t="s">
        <v>0</v>
      </c>
      <c r="ETJ73" s="49">
        <v>0</v>
      </c>
      <c r="ETK73" s="49">
        <v>1</v>
      </c>
      <c r="ETL73" s="58">
        <v>2.5</v>
      </c>
      <c r="ETM73" s="58">
        <v>5</v>
      </c>
      <c r="ETN73" s="58">
        <v>4</v>
      </c>
      <c r="ETO73" s="49">
        <f>INDEX($T$2:$T$11,MATCH(ETK73,$R$2:$R$11,0))</f>
        <v>0.37</v>
      </c>
      <c r="ETP73" s="49">
        <f t="shared" ref="ETP73:EVL73" si="122">ETL73*ETM73*ETN73</f>
        <v>50</v>
      </c>
      <c r="ETQ73" s="57">
        <f t="shared" ref="ETQ73:EVM73" si="123">ETO73*ETP73</f>
        <v>18.5</v>
      </c>
      <c r="ETR73" s="59" t="s">
        <v>44</v>
      </c>
      <c r="ETS73" s="49" t="s">
        <v>44</v>
      </c>
      <c r="ETT73" s="51">
        <v>45117</v>
      </c>
      <c r="ETU73" s="49"/>
      <c r="ETV73" s="49" t="s">
        <v>43</v>
      </c>
      <c r="ETW73" s="49" t="s">
        <v>45</v>
      </c>
      <c r="ETX73" s="49" t="s">
        <v>42</v>
      </c>
      <c r="ETY73" s="49" t="s">
        <v>0</v>
      </c>
      <c r="ETZ73" s="49">
        <v>0</v>
      </c>
      <c r="EUA73" s="49">
        <v>1</v>
      </c>
      <c r="EUB73" s="58">
        <v>2.5</v>
      </c>
      <c r="EUC73" s="58">
        <v>5</v>
      </c>
      <c r="EUD73" s="58">
        <v>4</v>
      </c>
      <c r="EUE73" s="49">
        <f>INDEX($T$2:$T$11,MATCH(EUA73,$R$2:$R$11,0))</f>
        <v>0.37</v>
      </c>
      <c r="EUF73" s="49">
        <f t="shared" si="122"/>
        <v>50</v>
      </c>
      <c r="EUG73" s="57">
        <f t="shared" si="123"/>
        <v>18.5</v>
      </c>
      <c r="EUH73" s="59" t="s">
        <v>44</v>
      </c>
      <c r="EUI73" s="49" t="s">
        <v>44</v>
      </c>
      <c r="EUJ73" s="51">
        <v>45117</v>
      </c>
      <c r="EUK73" s="49"/>
      <c r="EUL73" s="49" t="s">
        <v>43</v>
      </c>
      <c r="EUM73" s="49" t="s">
        <v>45</v>
      </c>
      <c r="EUN73" s="49" t="s">
        <v>42</v>
      </c>
      <c r="EUO73" s="49" t="s">
        <v>0</v>
      </c>
      <c r="EUP73" s="49">
        <v>0</v>
      </c>
      <c r="EUQ73" s="49">
        <v>1</v>
      </c>
      <c r="EUR73" s="58">
        <v>2.5</v>
      </c>
      <c r="EUS73" s="58">
        <v>5</v>
      </c>
      <c r="EUT73" s="58">
        <v>4</v>
      </c>
      <c r="EUU73" s="49">
        <f>INDEX($T$2:$T$11,MATCH(EUQ73,$R$2:$R$11,0))</f>
        <v>0.37</v>
      </c>
      <c r="EUV73" s="49">
        <f t="shared" si="122"/>
        <v>50</v>
      </c>
      <c r="EUW73" s="57">
        <f t="shared" si="123"/>
        <v>18.5</v>
      </c>
      <c r="EUX73" s="59" t="s">
        <v>44</v>
      </c>
      <c r="EUY73" s="49" t="s">
        <v>44</v>
      </c>
      <c r="EUZ73" s="51">
        <v>45117</v>
      </c>
      <c r="EVA73" s="49"/>
      <c r="EVB73" s="49" t="s">
        <v>43</v>
      </c>
      <c r="EVC73" s="49" t="s">
        <v>45</v>
      </c>
      <c r="EVD73" s="49" t="s">
        <v>42</v>
      </c>
      <c r="EVE73" s="49" t="s">
        <v>0</v>
      </c>
      <c r="EVF73" s="49">
        <v>0</v>
      </c>
      <c r="EVG73" s="49">
        <v>1</v>
      </c>
      <c r="EVH73" s="58">
        <v>2.5</v>
      </c>
      <c r="EVI73" s="58">
        <v>5</v>
      </c>
      <c r="EVJ73" s="58">
        <v>4</v>
      </c>
      <c r="EVK73" s="49">
        <f>INDEX($T$2:$T$11,MATCH(EVG73,$R$2:$R$11,0))</f>
        <v>0.37</v>
      </c>
      <c r="EVL73" s="49">
        <f t="shared" si="122"/>
        <v>50</v>
      </c>
      <c r="EVM73" s="57">
        <f t="shared" si="123"/>
        <v>18.5</v>
      </c>
      <c r="EVN73" s="59" t="s">
        <v>44</v>
      </c>
      <c r="EVO73" s="49" t="s">
        <v>44</v>
      </c>
      <c r="EVP73" s="51">
        <v>45117</v>
      </c>
      <c r="EVQ73" s="49"/>
      <c r="EVR73" s="49" t="s">
        <v>43</v>
      </c>
      <c r="EVS73" s="49" t="s">
        <v>45</v>
      </c>
      <c r="EVT73" s="49" t="s">
        <v>42</v>
      </c>
      <c r="EVU73" s="49" t="s">
        <v>0</v>
      </c>
      <c r="EVV73" s="49">
        <v>0</v>
      </c>
      <c r="EVW73" s="49">
        <v>1</v>
      </c>
      <c r="EVX73" s="58">
        <v>2.5</v>
      </c>
      <c r="EVY73" s="58">
        <v>5</v>
      </c>
      <c r="EVZ73" s="58">
        <v>4</v>
      </c>
      <c r="EWA73" s="49">
        <f>INDEX($T$2:$T$11,MATCH(EVW73,$R$2:$R$11,0))</f>
        <v>0.37</v>
      </c>
      <c r="EWB73" s="49">
        <f t="shared" ref="EWB73:EXX73" si="124">EVX73*EVY73*EVZ73</f>
        <v>50</v>
      </c>
      <c r="EWC73" s="57">
        <f t="shared" ref="EWC73:EXY73" si="125">EWA73*EWB73</f>
        <v>18.5</v>
      </c>
      <c r="EWD73" s="59" t="s">
        <v>44</v>
      </c>
      <c r="EWE73" s="49" t="s">
        <v>44</v>
      </c>
      <c r="EWF73" s="51">
        <v>45117</v>
      </c>
      <c r="EWG73" s="49"/>
      <c r="EWH73" s="49" t="s">
        <v>43</v>
      </c>
      <c r="EWI73" s="49" t="s">
        <v>45</v>
      </c>
      <c r="EWJ73" s="49" t="s">
        <v>42</v>
      </c>
      <c r="EWK73" s="49" t="s">
        <v>0</v>
      </c>
      <c r="EWL73" s="49">
        <v>0</v>
      </c>
      <c r="EWM73" s="49">
        <v>1</v>
      </c>
      <c r="EWN73" s="58">
        <v>2.5</v>
      </c>
      <c r="EWO73" s="58">
        <v>5</v>
      </c>
      <c r="EWP73" s="58">
        <v>4</v>
      </c>
      <c r="EWQ73" s="49">
        <f>INDEX($T$2:$T$11,MATCH(EWM73,$R$2:$R$11,0))</f>
        <v>0.37</v>
      </c>
      <c r="EWR73" s="49">
        <f t="shared" si="124"/>
        <v>50</v>
      </c>
      <c r="EWS73" s="57">
        <f t="shared" si="125"/>
        <v>18.5</v>
      </c>
      <c r="EWT73" s="59" t="s">
        <v>44</v>
      </c>
      <c r="EWU73" s="49" t="s">
        <v>44</v>
      </c>
      <c r="EWV73" s="51">
        <v>45117</v>
      </c>
      <c r="EWW73" s="49"/>
      <c r="EWX73" s="49" t="s">
        <v>43</v>
      </c>
      <c r="EWY73" s="49" t="s">
        <v>45</v>
      </c>
      <c r="EWZ73" s="49" t="s">
        <v>42</v>
      </c>
      <c r="EXA73" s="49" t="s">
        <v>0</v>
      </c>
      <c r="EXB73" s="49">
        <v>0</v>
      </c>
      <c r="EXC73" s="49">
        <v>1</v>
      </c>
      <c r="EXD73" s="58">
        <v>2.5</v>
      </c>
      <c r="EXE73" s="58">
        <v>5</v>
      </c>
      <c r="EXF73" s="58">
        <v>4</v>
      </c>
      <c r="EXG73" s="49">
        <f>INDEX($T$2:$T$11,MATCH(EXC73,$R$2:$R$11,0))</f>
        <v>0.37</v>
      </c>
      <c r="EXH73" s="49">
        <f t="shared" si="124"/>
        <v>50</v>
      </c>
      <c r="EXI73" s="57">
        <f t="shared" si="125"/>
        <v>18.5</v>
      </c>
      <c r="EXJ73" s="59" t="s">
        <v>44</v>
      </c>
      <c r="EXK73" s="49" t="s">
        <v>44</v>
      </c>
      <c r="EXL73" s="51">
        <v>45117</v>
      </c>
      <c r="EXM73" s="49"/>
      <c r="EXN73" s="49" t="s">
        <v>43</v>
      </c>
      <c r="EXO73" s="49" t="s">
        <v>45</v>
      </c>
      <c r="EXP73" s="49" t="s">
        <v>42</v>
      </c>
      <c r="EXQ73" s="49" t="s">
        <v>0</v>
      </c>
      <c r="EXR73" s="49">
        <v>0</v>
      </c>
      <c r="EXS73" s="49">
        <v>1</v>
      </c>
      <c r="EXT73" s="58">
        <v>2.5</v>
      </c>
      <c r="EXU73" s="58">
        <v>5</v>
      </c>
      <c r="EXV73" s="58">
        <v>4</v>
      </c>
      <c r="EXW73" s="49">
        <f>INDEX($T$2:$T$11,MATCH(EXS73,$R$2:$R$11,0))</f>
        <v>0.37</v>
      </c>
      <c r="EXX73" s="49">
        <f t="shared" si="124"/>
        <v>50</v>
      </c>
      <c r="EXY73" s="57">
        <f t="shared" si="125"/>
        <v>18.5</v>
      </c>
      <c r="EXZ73" s="59" t="s">
        <v>44</v>
      </c>
      <c r="EYA73" s="49" t="s">
        <v>44</v>
      </c>
      <c r="EYB73" s="51">
        <v>45117</v>
      </c>
      <c r="EYC73" s="49"/>
      <c r="EYD73" s="49" t="s">
        <v>43</v>
      </c>
      <c r="EYE73" s="49" t="s">
        <v>45</v>
      </c>
      <c r="EYF73" s="49" t="s">
        <v>42</v>
      </c>
      <c r="EYG73" s="49" t="s">
        <v>0</v>
      </c>
      <c r="EYH73" s="49">
        <v>0</v>
      </c>
      <c r="EYI73" s="49">
        <v>1</v>
      </c>
      <c r="EYJ73" s="58">
        <v>2.5</v>
      </c>
      <c r="EYK73" s="58">
        <v>5</v>
      </c>
      <c r="EYL73" s="58">
        <v>4</v>
      </c>
      <c r="EYM73" s="49">
        <f>INDEX($T$2:$T$11,MATCH(EYI73,$R$2:$R$11,0))</f>
        <v>0.37</v>
      </c>
      <c r="EYN73" s="49">
        <f t="shared" ref="EYN73:FAJ73" si="126">EYJ73*EYK73*EYL73</f>
        <v>50</v>
      </c>
      <c r="EYO73" s="57">
        <f t="shared" ref="EYO73:FAK73" si="127">EYM73*EYN73</f>
        <v>18.5</v>
      </c>
      <c r="EYP73" s="59" t="s">
        <v>44</v>
      </c>
      <c r="EYQ73" s="49" t="s">
        <v>44</v>
      </c>
      <c r="EYR73" s="51">
        <v>45117</v>
      </c>
      <c r="EYS73" s="49"/>
      <c r="EYT73" s="49" t="s">
        <v>43</v>
      </c>
      <c r="EYU73" s="49" t="s">
        <v>45</v>
      </c>
      <c r="EYV73" s="49" t="s">
        <v>42</v>
      </c>
      <c r="EYW73" s="49" t="s">
        <v>0</v>
      </c>
      <c r="EYX73" s="49">
        <v>0</v>
      </c>
      <c r="EYY73" s="49">
        <v>1</v>
      </c>
      <c r="EYZ73" s="58">
        <v>2.5</v>
      </c>
      <c r="EZA73" s="58">
        <v>5</v>
      </c>
      <c r="EZB73" s="58">
        <v>4</v>
      </c>
      <c r="EZC73" s="49">
        <f>INDEX($T$2:$T$11,MATCH(EYY73,$R$2:$R$11,0))</f>
        <v>0.37</v>
      </c>
      <c r="EZD73" s="49">
        <f t="shared" si="126"/>
        <v>50</v>
      </c>
      <c r="EZE73" s="57">
        <f t="shared" si="127"/>
        <v>18.5</v>
      </c>
      <c r="EZF73" s="59" t="s">
        <v>44</v>
      </c>
      <c r="EZG73" s="49" t="s">
        <v>44</v>
      </c>
      <c r="EZH73" s="51">
        <v>45117</v>
      </c>
      <c r="EZI73" s="49"/>
      <c r="EZJ73" s="49" t="s">
        <v>43</v>
      </c>
      <c r="EZK73" s="49" t="s">
        <v>45</v>
      </c>
      <c r="EZL73" s="49" t="s">
        <v>42</v>
      </c>
      <c r="EZM73" s="49" t="s">
        <v>0</v>
      </c>
      <c r="EZN73" s="49">
        <v>0</v>
      </c>
      <c r="EZO73" s="49">
        <v>1</v>
      </c>
      <c r="EZP73" s="58">
        <v>2.5</v>
      </c>
      <c r="EZQ73" s="58">
        <v>5</v>
      </c>
      <c r="EZR73" s="58">
        <v>4</v>
      </c>
      <c r="EZS73" s="49">
        <f>INDEX($T$2:$T$11,MATCH(EZO73,$R$2:$R$11,0))</f>
        <v>0.37</v>
      </c>
      <c r="EZT73" s="49">
        <f t="shared" si="126"/>
        <v>50</v>
      </c>
      <c r="EZU73" s="57">
        <f t="shared" si="127"/>
        <v>18.5</v>
      </c>
      <c r="EZV73" s="59" t="s">
        <v>44</v>
      </c>
      <c r="EZW73" s="49" t="s">
        <v>44</v>
      </c>
      <c r="EZX73" s="51">
        <v>45117</v>
      </c>
      <c r="EZY73" s="49"/>
      <c r="EZZ73" s="49" t="s">
        <v>43</v>
      </c>
      <c r="FAA73" s="49" t="s">
        <v>45</v>
      </c>
      <c r="FAB73" s="49" t="s">
        <v>42</v>
      </c>
      <c r="FAC73" s="49" t="s">
        <v>0</v>
      </c>
      <c r="FAD73" s="49">
        <v>0</v>
      </c>
      <c r="FAE73" s="49">
        <v>1</v>
      </c>
      <c r="FAF73" s="58">
        <v>2.5</v>
      </c>
      <c r="FAG73" s="58">
        <v>5</v>
      </c>
      <c r="FAH73" s="58">
        <v>4</v>
      </c>
      <c r="FAI73" s="49">
        <f>INDEX($T$2:$T$11,MATCH(FAE73,$R$2:$R$11,0))</f>
        <v>0.37</v>
      </c>
      <c r="FAJ73" s="49">
        <f t="shared" si="126"/>
        <v>50</v>
      </c>
      <c r="FAK73" s="57">
        <f t="shared" si="127"/>
        <v>18.5</v>
      </c>
      <c r="FAL73" s="59" t="s">
        <v>44</v>
      </c>
      <c r="FAM73" s="49" t="s">
        <v>44</v>
      </c>
      <c r="FAN73" s="51">
        <v>45117</v>
      </c>
      <c r="FAO73" s="49"/>
      <c r="FAP73" s="49" t="s">
        <v>43</v>
      </c>
      <c r="FAQ73" s="49" t="s">
        <v>45</v>
      </c>
      <c r="FAR73" s="49" t="s">
        <v>42</v>
      </c>
      <c r="FAS73" s="49" t="s">
        <v>0</v>
      </c>
      <c r="FAT73" s="49">
        <v>0</v>
      </c>
      <c r="FAU73" s="49">
        <v>1</v>
      </c>
      <c r="FAV73" s="58">
        <v>2.5</v>
      </c>
      <c r="FAW73" s="58">
        <v>5</v>
      </c>
      <c r="FAX73" s="58">
        <v>4</v>
      </c>
      <c r="FAY73" s="49">
        <f>INDEX($T$2:$T$11,MATCH(FAU73,$R$2:$R$11,0))</f>
        <v>0.37</v>
      </c>
      <c r="FAZ73" s="49">
        <f t="shared" ref="FAZ73:FCV73" si="128">FAV73*FAW73*FAX73</f>
        <v>50</v>
      </c>
      <c r="FBA73" s="57">
        <f t="shared" ref="FBA73:FCW73" si="129">FAY73*FAZ73</f>
        <v>18.5</v>
      </c>
      <c r="FBB73" s="59" t="s">
        <v>44</v>
      </c>
      <c r="FBC73" s="49" t="s">
        <v>44</v>
      </c>
      <c r="FBD73" s="51">
        <v>45117</v>
      </c>
      <c r="FBE73" s="49"/>
      <c r="FBF73" s="49" t="s">
        <v>43</v>
      </c>
      <c r="FBG73" s="49" t="s">
        <v>45</v>
      </c>
      <c r="FBH73" s="49" t="s">
        <v>42</v>
      </c>
      <c r="FBI73" s="49" t="s">
        <v>0</v>
      </c>
      <c r="FBJ73" s="49">
        <v>0</v>
      </c>
      <c r="FBK73" s="49">
        <v>1</v>
      </c>
      <c r="FBL73" s="58">
        <v>2.5</v>
      </c>
      <c r="FBM73" s="58">
        <v>5</v>
      </c>
      <c r="FBN73" s="58">
        <v>4</v>
      </c>
      <c r="FBO73" s="49">
        <f>INDEX($T$2:$T$11,MATCH(FBK73,$R$2:$R$11,0))</f>
        <v>0.37</v>
      </c>
      <c r="FBP73" s="49">
        <f t="shared" si="128"/>
        <v>50</v>
      </c>
      <c r="FBQ73" s="57">
        <f t="shared" si="129"/>
        <v>18.5</v>
      </c>
      <c r="FBR73" s="59" t="s">
        <v>44</v>
      </c>
      <c r="FBS73" s="49" t="s">
        <v>44</v>
      </c>
      <c r="FBT73" s="51">
        <v>45117</v>
      </c>
      <c r="FBU73" s="49"/>
      <c r="FBV73" s="49" t="s">
        <v>43</v>
      </c>
      <c r="FBW73" s="49" t="s">
        <v>45</v>
      </c>
      <c r="FBX73" s="49" t="s">
        <v>42</v>
      </c>
      <c r="FBY73" s="49" t="s">
        <v>0</v>
      </c>
      <c r="FBZ73" s="49">
        <v>0</v>
      </c>
      <c r="FCA73" s="49">
        <v>1</v>
      </c>
      <c r="FCB73" s="58">
        <v>2.5</v>
      </c>
      <c r="FCC73" s="58">
        <v>5</v>
      </c>
      <c r="FCD73" s="58">
        <v>4</v>
      </c>
      <c r="FCE73" s="49">
        <f>INDEX($T$2:$T$11,MATCH(FCA73,$R$2:$R$11,0))</f>
        <v>0.37</v>
      </c>
      <c r="FCF73" s="49">
        <f t="shared" si="128"/>
        <v>50</v>
      </c>
      <c r="FCG73" s="57">
        <f t="shared" si="129"/>
        <v>18.5</v>
      </c>
      <c r="FCH73" s="59" t="s">
        <v>44</v>
      </c>
      <c r="FCI73" s="49" t="s">
        <v>44</v>
      </c>
      <c r="FCJ73" s="51">
        <v>45117</v>
      </c>
      <c r="FCK73" s="49"/>
      <c r="FCL73" s="49" t="s">
        <v>43</v>
      </c>
      <c r="FCM73" s="49" t="s">
        <v>45</v>
      </c>
      <c r="FCN73" s="49" t="s">
        <v>42</v>
      </c>
      <c r="FCO73" s="49" t="s">
        <v>0</v>
      </c>
      <c r="FCP73" s="49">
        <v>0</v>
      </c>
      <c r="FCQ73" s="49">
        <v>1</v>
      </c>
      <c r="FCR73" s="58">
        <v>2.5</v>
      </c>
      <c r="FCS73" s="58">
        <v>5</v>
      </c>
      <c r="FCT73" s="58">
        <v>4</v>
      </c>
      <c r="FCU73" s="49">
        <f>INDEX($T$2:$T$11,MATCH(FCQ73,$R$2:$R$11,0))</f>
        <v>0.37</v>
      </c>
      <c r="FCV73" s="49">
        <f t="shared" si="128"/>
        <v>50</v>
      </c>
      <c r="FCW73" s="57">
        <f t="shared" si="129"/>
        <v>18.5</v>
      </c>
      <c r="FCX73" s="59" t="s">
        <v>44</v>
      </c>
      <c r="FCY73" s="49" t="s">
        <v>44</v>
      </c>
      <c r="FCZ73" s="51">
        <v>45117</v>
      </c>
      <c r="FDA73" s="49"/>
      <c r="FDB73" s="49" t="s">
        <v>43</v>
      </c>
      <c r="FDC73" s="49" t="s">
        <v>45</v>
      </c>
      <c r="FDD73" s="49" t="s">
        <v>42</v>
      </c>
      <c r="FDE73" s="49" t="s">
        <v>0</v>
      </c>
      <c r="FDF73" s="49">
        <v>0</v>
      </c>
      <c r="FDG73" s="49">
        <v>1</v>
      </c>
      <c r="FDH73" s="58">
        <v>2.5</v>
      </c>
      <c r="FDI73" s="58">
        <v>5</v>
      </c>
      <c r="FDJ73" s="58">
        <v>4</v>
      </c>
      <c r="FDK73" s="49">
        <f>INDEX($T$2:$T$11,MATCH(FDG73,$R$2:$R$11,0))</f>
        <v>0.37</v>
      </c>
      <c r="FDL73" s="49">
        <f t="shared" ref="FDL73:FFH73" si="130">FDH73*FDI73*FDJ73</f>
        <v>50</v>
      </c>
      <c r="FDM73" s="57">
        <f t="shared" ref="FDM73:FFI73" si="131">FDK73*FDL73</f>
        <v>18.5</v>
      </c>
      <c r="FDN73" s="59" t="s">
        <v>44</v>
      </c>
      <c r="FDO73" s="49" t="s">
        <v>44</v>
      </c>
      <c r="FDP73" s="51">
        <v>45117</v>
      </c>
      <c r="FDQ73" s="49"/>
      <c r="FDR73" s="49" t="s">
        <v>43</v>
      </c>
      <c r="FDS73" s="49" t="s">
        <v>45</v>
      </c>
      <c r="FDT73" s="49" t="s">
        <v>42</v>
      </c>
      <c r="FDU73" s="49" t="s">
        <v>0</v>
      </c>
      <c r="FDV73" s="49">
        <v>0</v>
      </c>
      <c r="FDW73" s="49">
        <v>1</v>
      </c>
      <c r="FDX73" s="58">
        <v>2.5</v>
      </c>
      <c r="FDY73" s="58">
        <v>5</v>
      </c>
      <c r="FDZ73" s="58">
        <v>4</v>
      </c>
      <c r="FEA73" s="49">
        <f>INDEX($T$2:$T$11,MATCH(FDW73,$R$2:$R$11,0))</f>
        <v>0.37</v>
      </c>
      <c r="FEB73" s="49">
        <f t="shared" si="130"/>
        <v>50</v>
      </c>
      <c r="FEC73" s="57">
        <f t="shared" si="131"/>
        <v>18.5</v>
      </c>
      <c r="FED73" s="59" t="s">
        <v>44</v>
      </c>
      <c r="FEE73" s="49" t="s">
        <v>44</v>
      </c>
      <c r="FEF73" s="51">
        <v>45117</v>
      </c>
      <c r="FEG73" s="49"/>
      <c r="FEH73" s="49" t="s">
        <v>43</v>
      </c>
      <c r="FEI73" s="49" t="s">
        <v>45</v>
      </c>
      <c r="FEJ73" s="49" t="s">
        <v>42</v>
      </c>
      <c r="FEK73" s="49" t="s">
        <v>0</v>
      </c>
      <c r="FEL73" s="49">
        <v>0</v>
      </c>
      <c r="FEM73" s="49">
        <v>1</v>
      </c>
      <c r="FEN73" s="58">
        <v>2.5</v>
      </c>
      <c r="FEO73" s="58">
        <v>5</v>
      </c>
      <c r="FEP73" s="58">
        <v>4</v>
      </c>
      <c r="FEQ73" s="49">
        <f>INDEX($T$2:$T$11,MATCH(FEM73,$R$2:$R$11,0))</f>
        <v>0.37</v>
      </c>
      <c r="FER73" s="49">
        <f t="shared" si="130"/>
        <v>50</v>
      </c>
      <c r="FES73" s="57">
        <f t="shared" si="131"/>
        <v>18.5</v>
      </c>
      <c r="FET73" s="59" t="s">
        <v>44</v>
      </c>
      <c r="FEU73" s="49" t="s">
        <v>44</v>
      </c>
      <c r="FEV73" s="51">
        <v>45117</v>
      </c>
      <c r="FEW73" s="49"/>
      <c r="FEX73" s="49" t="s">
        <v>43</v>
      </c>
      <c r="FEY73" s="49" t="s">
        <v>45</v>
      </c>
      <c r="FEZ73" s="49" t="s">
        <v>42</v>
      </c>
      <c r="FFA73" s="49" t="s">
        <v>0</v>
      </c>
      <c r="FFB73" s="49">
        <v>0</v>
      </c>
      <c r="FFC73" s="49">
        <v>1</v>
      </c>
      <c r="FFD73" s="58">
        <v>2.5</v>
      </c>
      <c r="FFE73" s="58">
        <v>5</v>
      </c>
      <c r="FFF73" s="58">
        <v>4</v>
      </c>
      <c r="FFG73" s="49">
        <f>INDEX($T$2:$T$11,MATCH(FFC73,$R$2:$R$11,0))</f>
        <v>0.37</v>
      </c>
      <c r="FFH73" s="49">
        <f t="shared" si="130"/>
        <v>50</v>
      </c>
      <c r="FFI73" s="57">
        <f t="shared" si="131"/>
        <v>18.5</v>
      </c>
      <c r="FFJ73" s="59" t="s">
        <v>44</v>
      </c>
      <c r="FFK73" s="49" t="s">
        <v>44</v>
      </c>
      <c r="FFL73" s="51">
        <v>45117</v>
      </c>
      <c r="FFM73" s="49"/>
      <c r="FFN73" s="49" t="s">
        <v>43</v>
      </c>
      <c r="FFO73" s="49" t="s">
        <v>45</v>
      </c>
      <c r="FFP73" s="49" t="s">
        <v>42</v>
      </c>
      <c r="FFQ73" s="49" t="s">
        <v>0</v>
      </c>
      <c r="FFR73" s="49">
        <v>0</v>
      </c>
      <c r="FFS73" s="49">
        <v>1</v>
      </c>
      <c r="FFT73" s="58">
        <v>2.5</v>
      </c>
      <c r="FFU73" s="58">
        <v>5</v>
      </c>
      <c r="FFV73" s="58">
        <v>4</v>
      </c>
      <c r="FFW73" s="49">
        <f>INDEX($T$2:$T$11,MATCH(FFS73,$R$2:$R$11,0))</f>
        <v>0.37</v>
      </c>
      <c r="FFX73" s="49">
        <f t="shared" ref="FFX73:FHT73" si="132">FFT73*FFU73*FFV73</f>
        <v>50</v>
      </c>
      <c r="FFY73" s="57">
        <f t="shared" ref="FFY73:FHU73" si="133">FFW73*FFX73</f>
        <v>18.5</v>
      </c>
      <c r="FFZ73" s="59" t="s">
        <v>44</v>
      </c>
      <c r="FGA73" s="49" t="s">
        <v>44</v>
      </c>
      <c r="FGB73" s="51">
        <v>45117</v>
      </c>
      <c r="FGC73" s="49"/>
      <c r="FGD73" s="49" t="s">
        <v>43</v>
      </c>
      <c r="FGE73" s="49" t="s">
        <v>45</v>
      </c>
      <c r="FGF73" s="49" t="s">
        <v>42</v>
      </c>
      <c r="FGG73" s="49" t="s">
        <v>0</v>
      </c>
      <c r="FGH73" s="49">
        <v>0</v>
      </c>
      <c r="FGI73" s="49">
        <v>1</v>
      </c>
      <c r="FGJ73" s="58">
        <v>2.5</v>
      </c>
      <c r="FGK73" s="58">
        <v>5</v>
      </c>
      <c r="FGL73" s="58">
        <v>4</v>
      </c>
      <c r="FGM73" s="49">
        <f>INDEX($T$2:$T$11,MATCH(FGI73,$R$2:$R$11,0))</f>
        <v>0.37</v>
      </c>
      <c r="FGN73" s="49">
        <f t="shared" si="132"/>
        <v>50</v>
      </c>
      <c r="FGO73" s="57">
        <f t="shared" si="133"/>
        <v>18.5</v>
      </c>
      <c r="FGP73" s="59" t="s">
        <v>44</v>
      </c>
      <c r="FGQ73" s="49" t="s">
        <v>44</v>
      </c>
      <c r="FGR73" s="51">
        <v>45117</v>
      </c>
      <c r="FGS73" s="49"/>
      <c r="FGT73" s="49" t="s">
        <v>43</v>
      </c>
      <c r="FGU73" s="49" t="s">
        <v>45</v>
      </c>
      <c r="FGV73" s="49" t="s">
        <v>42</v>
      </c>
      <c r="FGW73" s="49" t="s">
        <v>0</v>
      </c>
      <c r="FGX73" s="49">
        <v>0</v>
      </c>
      <c r="FGY73" s="49">
        <v>1</v>
      </c>
      <c r="FGZ73" s="58">
        <v>2.5</v>
      </c>
      <c r="FHA73" s="58">
        <v>5</v>
      </c>
      <c r="FHB73" s="58">
        <v>4</v>
      </c>
      <c r="FHC73" s="49">
        <f>INDEX($T$2:$T$11,MATCH(FGY73,$R$2:$R$11,0))</f>
        <v>0.37</v>
      </c>
      <c r="FHD73" s="49">
        <f t="shared" si="132"/>
        <v>50</v>
      </c>
      <c r="FHE73" s="57">
        <f t="shared" si="133"/>
        <v>18.5</v>
      </c>
      <c r="FHF73" s="59" t="s">
        <v>44</v>
      </c>
      <c r="FHG73" s="49" t="s">
        <v>44</v>
      </c>
      <c r="FHH73" s="51">
        <v>45117</v>
      </c>
      <c r="FHI73" s="49"/>
      <c r="FHJ73" s="49" t="s">
        <v>43</v>
      </c>
      <c r="FHK73" s="49" t="s">
        <v>45</v>
      </c>
      <c r="FHL73" s="49" t="s">
        <v>42</v>
      </c>
      <c r="FHM73" s="49" t="s">
        <v>0</v>
      </c>
      <c r="FHN73" s="49">
        <v>0</v>
      </c>
      <c r="FHO73" s="49">
        <v>1</v>
      </c>
      <c r="FHP73" s="58">
        <v>2.5</v>
      </c>
      <c r="FHQ73" s="58">
        <v>5</v>
      </c>
      <c r="FHR73" s="58">
        <v>4</v>
      </c>
      <c r="FHS73" s="49">
        <f>INDEX($T$2:$T$11,MATCH(FHO73,$R$2:$R$11,0))</f>
        <v>0.37</v>
      </c>
      <c r="FHT73" s="49">
        <f t="shared" si="132"/>
        <v>50</v>
      </c>
      <c r="FHU73" s="57">
        <f t="shared" si="133"/>
        <v>18.5</v>
      </c>
      <c r="FHV73" s="59" t="s">
        <v>44</v>
      </c>
      <c r="FHW73" s="49" t="s">
        <v>44</v>
      </c>
      <c r="FHX73" s="51">
        <v>45117</v>
      </c>
      <c r="FHY73" s="49"/>
      <c r="FHZ73" s="49" t="s">
        <v>43</v>
      </c>
      <c r="FIA73" s="49" t="s">
        <v>45</v>
      </c>
      <c r="FIB73" s="49" t="s">
        <v>42</v>
      </c>
      <c r="FIC73" s="49" t="s">
        <v>0</v>
      </c>
      <c r="FID73" s="49">
        <v>0</v>
      </c>
      <c r="FIE73" s="49">
        <v>1</v>
      </c>
      <c r="FIF73" s="58">
        <v>2.5</v>
      </c>
      <c r="FIG73" s="58">
        <v>5</v>
      </c>
      <c r="FIH73" s="58">
        <v>4</v>
      </c>
      <c r="FII73" s="49">
        <f>INDEX($T$2:$T$11,MATCH(FIE73,$R$2:$R$11,0))</f>
        <v>0.37</v>
      </c>
      <c r="FIJ73" s="49">
        <f t="shared" ref="FIJ73:FKF73" si="134">FIF73*FIG73*FIH73</f>
        <v>50</v>
      </c>
      <c r="FIK73" s="57">
        <f t="shared" ref="FIK73:FKG73" si="135">FII73*FIJ73</f>
        <v>18.5</v>
      </c>
      <c r="FIL73" s="59" t="s">
        <v>44</v>
      </c>
      <c r="FIM73" s="49" t="s">
        <v>44</v>
      </c>
      <c r="FIN73" s="51">
        <v>45117</v>
      </c>
      <c r="FIO73" s="49"/>
      <c r="FIP73" s="49" t="s">
        <v>43</v>
      </c>
      <c r="FIQ73" s="49" t="s">
        <v>45</v>
      </c>
      <c r="FIR73" s="49" t="s">
        <v>42</v>
      </c>
      <c r="FIS73" s="49" t="s">
        <v>0</v>
      </c>
      <c r="FIT73" s="49">
        <v>0</v>
      </c>
      <c r="FIU73" s="49">
        <v>1</v>
      </c>
      <c r="FIV73" s="58">
        <v>2.5</v>
      </c>
      <c r="FIW73" s="58">
        <v>5</v>
      </c>
      <c r="FIX73" s="58">
        <v>4</v>
      </c>
      <c r="FIY73" s="49">
        <f>INDEX($T$2:$T$11,MATCH(FIU73,$R$2:$R$11,0))</f>
        <v>0.37</v>
      </c>
      <c r="FIZ73" s="49">
        <f t="shared" si="134"/>
        <v>50</v>
      </c>
      <c r="FJA73" s="57">
        <f t="shared" si="135"/>
        <v>18.5</v>
      </c>
      <c r="FJB73" s="59" t="s">
        <v>44</v>
      </c>
      <c r="FJC73" s="49" t="s">
        <v>44</v>
      </c>
      <c r="FJD73" s="51">
        <v>45117</v>
      </c>
      <c r="FJE73" s="49"/>
      <c r="FJF73" s="49" t="s">
        <v>43</v>
      </c>
      <c r="FJG73" s="49" t="s">
        <v>45</v>
      </c>
      <c r="FJH73" s="49" t="s">
        <v>42</v>
      </c>
      <c r="FJI73" s="49" t="s">
        <v>0</v>
      </c>
      <c r="FJJ73" s="49">
        <v>0</v>
      </c>
      <c r="FJK73" s="49">
        <v>1</v>
      </c>
      <c r="FJL73" s="58">
        <v>2.5</v>
      </c>
      <c r="FJM73" s="58">
        <v>5</v>
      </c>
      <c r="FJN73" s="58">
        <v>4</v>
      </c>
      <c r="FJO73" s="49">
        <f>INDEX($T$2:$T$11,MATCH(FJK73,$R$2:$R$11,0))</f>
        <v>0.37</v>
      </c>
      <c r="FJP73" s="49">
        <f t="shared" si="134"/>
        <v>50</v>
      </c>
      <c r="FJQ73" s="57">
        <f t="shared" si="135"/>
        <v>18.5</v>
      </c>
      <c r="FJR73" s="59" t="s">
        <v>44</v>
      </c>
      <c r="FJS73" s="49" t="s">
        <v>44</v>
      </c>
      <c r="FJT73" s="51">
        <v>45117</v>
      </c>
      <c r="FJU73" s="49"/>
      <c r="FJV73" s="49" t="s">
        <v>43</v>
      </c>
      <c r="FJW73" s="49" t="s">
        <v>45</v>
      </c>
      <c r="FJX73" s="49" t="s">
        <v>42</v>
      </c>
      <c r="FJY73" s="49" t="s">
        <v>0</v>
      </c>
      <c r="FJZ73" s="49">
        <v>0</v>
      </c>
      <c r="FKA73" s="49">
        <v>1</v>
      </c>
      <c r="FKB73" s="58">
        <v>2.5</v>
      </c>
      <c r="FKC73" s="58">
        <v>5</v>
      </c>
      <c r="FKD73" s="58">
        <v>4</v>
      </c>
      <c r="FKE73" s="49">
        <f>INDEX($T$2:$T$11,MATCH(FKA73,$R$2:$R$11,0))</f>
        <v>0.37</v>
      </c>
      <c r="FKF73" s="49">
        <f t="shared" si="134"/>
        <v>50</v>
      </c>
      <c r="FKG73" s="57">
        <f t="shared" si="135"/>
        <v>18.5</v>
      </c>
      <c r="FKH73" s="59" t="s">
        <v>44</v>
      </c>
      <c r="FKI73" s="49" t="s">
        <v>44</v>
      </c>
      <c r="FKJ73" s="51">
        <v>45117</v>
      </c>
      <c r="FKK73" s="49"/>
      <c r="FKL73" s="49" t="s">
        <v>43</v>
      </c>
      <c r="FKM73" s="49" t="s">
        <v>45</v>
      </c>
      <c r="FKN73" s="49" t="s">
        <v>42</v>
      </c>
      <c r="FKO73" s="49" t="s">
        <v>0</v>
      </c>
      <c r="FKP73" s="49">
        <v>0</v>
      </c>
      <c r="FKQ73" s="49">
        <v>1</v>
      </c>
      <c r="FKR73" s="58">
        <v>2.5</v>
      </c>
      <c r="FKS73" s="58">
        <v>5</v>
      </c>
      <c r="FKT73" s="58">
        <v>4</v>
      </c>
      <c r="FKU73" s="49">
        <f>INDEX($T$2:$T$11,MATCH(FKQ73,$R$2:$R$11,0))</f>
        <v>0.37</v>
      </c>
      <c r="FKV73" s="49">
        <f t="shared" ref="FKV73:FMR73" si="136">FKR73*FKS73*FKT73</f>
        <v>50</v>
      </c>
      <c r="FKW73" s="57">
        <f t="shared" ref="FKW73:FMS73" si="137">FKU73*FKV73</f>
        <v>18.5</v>
      </c>
      <c r="FKX73" s="59" t="s">
        <v>44</v>
      </c>
      <c r="FKY73" s="49" t="s">
        <v>44</v>
      </c>
      <c r="FKZ73" s="51">
        <v>45117</v>
      </c>
      <c r="FLA73" s="49"/>
      <c r="FLB73" s="49" t="s">
        <v>43</v>
      </c>
      <c r="FLC73" s="49" t="s">
        <v>45</v>
      </c>
      <c r="FLD73" s="49" t="s">
        <v>42</v>
      </c>
      <c r="FLE73" s="49" t="s">
        <v>0</v>
      </c>
      <c r="FLF73" s="49">
        <v>0</v>
      </c>
      <c r="FLG73" s="49">
        <v>1</v>
      </c>
      <c r="FLH73" s="58">
        <v>2.5</v>
      </c>
      <c r="FLI73" s="58">
        <v>5</v>
      </c>
      <c r="FLJ73" s="58">
        <v>4</v>
      </c>
      <c r="FLK73" s="49">
        <f>INDEX($T$2:$T$11,MATCH(FLG73,$R$2:$R$11,0))</f>
        <v>0.37</v>
      </c>
      <c r="FLL73" s="49">
        <f t="shared" si="136"/>
        <v>50</v>
      </c>
      <c r="FLM73" s="57">
        <f t="shared" si="137"/>
        <v>18.5</v>
      </c>
      <c r="FLN73" s="59" t="s">
        <v>44</v>
      </c>
      <c r="FLO73" s="49" t="s">
        <v>44</v>
      </c>
      <c r="FLP73" s="51">
        <v>45117</v>
      </c>
      <c r="FLQ73" s="49"/>
      <c r="FLR73" s="49" t="s">
        <v>43</v>
      </c>
      <c r="FLS73" s="49" t="s">
        <v>45</v>
      </c>
      <c r="FLT73" s="49" t="s">
        <v>42</v>
      </c>
      <c r="FLU73" s="49" t="s">
        <v>0</v>
      </c>
      <c r="FLV73" s="49">
        <v>0</v>
      </c>
      <c r="FLW73" s="49">
        <v>1</v>
      </c>
      <c r="FLX73" s="58">
        <v>2.5</v>
      </c>
      <c r="FLY73" s="58">
        <v>5</v>
      </c>
      <c r="FLZ73" s="58">
        <v>4</v>
      </c>
      <c r="FMA73" s="49">
        <f>INDEX($T$2:$T$11,MATCH(FLW73,$R$2:$R$11,0))</f>
        <v>0.37</v>
      </c>
      <c r="FMB73" s="49">
        <f t="shared" si="136"/>
        <v>50</v>
      </c>
      <c r="FMC73" s="57">
        <f t="shared" si="137"/>
        <v>18.5</v>
      </c>
      <c r="FMD73" s="59" t="s">
        <v>44</v>
      </c>
      <c r="FME73" s="49" t="s">
        <v>44</v>
      </c>
      <c r="FMF73" s="51">
        <v>45117</v>
      </c>
      <c r="FMG73" s="49"/>
      <c r="FMH73" s="49" t="s">
        <v>43</v>
      </c>
      <c r="FMI73" s="49" t="s">
        <v>45</v>
      </c>
      <c r="FMJ73" s="49" t="s">
        <v>42</v>
      </c>
      <c r="FMK73" s="49" t="s">
        <v>0</v>
      </c>
      <c r="FML73" s="49">
        <v>0</v>
      </c>
      <c r="FMM73" s="49">
        <v>1</v>
      </c>
      <c r="FMN73" s="58">
        <v>2.5</v>
      </c>
      <c r="FMO73" s="58">
        <v>5</v>
      </c>
      <c r="FMP73" s="58">
        <v>4</v>
      </c>
      <c r="FMQ73" s="49">
        <f>INDEX($T$2:$T$11,MATCH(FMM73,$R$2:$R$11,0))</f>
        <v>0.37</v>
      </c>
      <c r="FMR73" s="49">
        <f t="shared" si="136"/>
        <v>50</v>
      </c>
      <c r="FMS73" s="57">
        <f t="shared" si="137"/>
        <v>18.5</v>
      </c>
      <c r="FMT73" s="59" t="s">
        <v>44</v>
      </c>
      <c r="FMU73" s="49" t="s">
        <v>44</v>
      </c>
      <c r="FMV73" s="51">
        <v>45117</v>
      </c>
      <c r="FMW73" s="49"/>
      <c r="FMX73" s="49" t="s">
        <v>43</v>
      </c>
      <c r="FMY73" s="49" t="s">
        <v>45</v>
      </c>
      <c r="FMZ73" s="49" t="s">
        <v>42</v>
      </c>
      <c r="FNA73" s="49" t="s">
        <v>0</v>
      </c>
      <c r="FNB73" s="49">
        <v>0</v>
      </c>
      <c r="FNC73" s="49">
        <v>1</v>
      </c>
      <c r="FND73" s="58">
        <v>2.5</v>
      </c>
      <c r="FNE73" s="58">
        <v>5</v>
      </c>
      <c r="FNF73" s="58">
        <v>4</v>
      </c>
      <c r="FNG73" s="49">
        <f>INDEX($T$2:$T$11,MATCH(FNC73,$R$2:$R$11,0))</f>
        <v>0.37</v>
      </c>
      <c r="FNH73" s="49">
        <f t="shared" ref="FNH73:FPD73" si="138">FND73*FNE73*FNF73</f>
        <v>50</v>
      </c>
      <c r="FNI73" s="57">
        <f t="shared" ref="FNI73:FPE73" si="139">FNG73*FNH73</f>
        <v>18.5</v>
      </c>
      <c r="FNJ73" s="59" t="s">
        <v>44</v>
      </c>
      <c r="FNK73" s="49" t="s">
        <v>44</v>
      </c>
      <c r="FNL73" s="51">
        <v>45117</v>
      </c>
      <c r="FNM73" s="49"/>
      <c r="FNN73" s="49" t="s">
        <v>43</v>
      </c>
      <c r="FNO73" s="49" t="s">
        <v>45</v>
      </c>
      <c r="FNP73" s="49" t="s">
        <v>42</v>
      </c>
      <c r="FNQ73" s="49" t="s">
        <v>0</v>
      </c>
      <c r="FNR73" s="49">
        <v>0</v>
      </c>
      <c r="FNS73" s="49">
        <v>1</v>
      </c>
      <c r="FNT73" s="58">
        <v>2.5</v>
      </c>
      <c r="FNU73" s="58">
        <v>5</v>
      </c>
      <c r="FNV73" s="58">
        <v>4</v>
      </c>
      <c r="FNW73" s="49">
        <f>INDEX($T$2:$T$11,MATCH(FNS73,$R$2:$R$11,0))</f>
        <v>0.37</v>
      </c>
      <c r="FNX73" s="49">
        <f t="shared" si="138"/>
        <v>50</v>
      </c>
      <c r="FNY73" s="57">
        <f t="shared" si="139"/>
        <v>18.5</v>
      </c>
      <c r="FNZ73" s="59" t="s">
        <v>44</v>
      </c>
      <c r="FOA73" s="49" t="s">
        <v>44</v>
      </c>
      <c r="FOB73" s="51">
        <v>45117</v>
      </c>
      <c r="FOC73" s="49"/>
      <c r="FOD73" s="49" t="s">
        <v>43</v>
      </c>
      <c r="FOE73" s="49" t="s">
        <v>45</v>
      </c>
      <c r="FOF73" s="49" t="s">
        <v>42</v>
      </c>
      <c r="FOG73" s="49" t="s">
        <v>0</v>
      </c>
      <c r="FOH73" s="49">
        <v>0</v>
      </c>
      <c r="FOI73" s="49">
        <v>1</v>
      </c>
      <c r="FOJ73" s="58">
        <v>2.5</v>
      </c>
      <c r="FOK73" s="58">
        <v>5</v>
      </c>
      <c r="FOL73" s="58">
        <v>4</v>
      </c>
      <c r="FOM73" s="49">
        <f>INDEX($T$2:$T$11,MATCH(FOI73,$R$2:$R$11,0))</f>
        <v>0.37</v>
      </c>
      <c r="FON73" s="49">
        <f t="shared" si="138"/>
        <v>50</v>
      </c>
      <c r="FOO73" s="57">
        <f t="shared" si="139"/>
        <v>18.5</v>
      </c>
      <c r="FOP73" s="59" t="s">
        <v>44</v>
      </c>
      <c r="FOQ73" s="49" t="s">
        <v>44</v>
      </c>
      <c r="FOR73" s="51">
        <v>45117</v>
      </c>
      <c r="FOS73" s="49"/>
      <c r="FOT73" s="49" t="s">
        <v>43</v>
      </c>
      <c r="FOU73" s="49" t="s">
        <v>45</v>
      </c>
      <c r="FOV73" s="49" t="s">
        <v>42</v>
      </c>
      <c r="FOW73" s="49" t="s">
        <v>0</v>
      </c>
      <c r="FOX73" s="49">
        <v>0</v>
      </c>
      <c r="FOY73" s="49">
        <v>1</v>
      </c>
      <c r="FOZ73" s="58">
        <v>2.5</v>
      </c>
      <c r="FPA73" s="58">
        <v>5</v>
      </c>
      <c r="FPB73" s="58">
        <v>4</v>
      </c>
      <c r="FPC73" s="49">
        <f>INDEX($T$2:$T$11,MATCH(FOY73,$R$2:$R$11,0))</f>
        <v>0.37</v>
      </c>
      <c r="FPD73" s="49">
        <f t="shared" si="138"/>
        <v>50</v>
      </c>
      <c r="FPE73" s="57">
        <f t="shared" si="139"/>
        <v>18.5</v>
      </c>
      <c r="FPF73" s="59" t="s">
        <v>44</v>
      </c>
      <c r="FPG73" s="49" t="s">
        <v>44</v>
      </c>
      <c r="FPH73" s="51">
        <v>45117</v>
      </c>
      <c r="FPI73" s="49"/>
      <c r="FPJ73" s="49" t="s">
        <v>43</v>
      </c>
      <c r="FPK73" s="49" t="s">
        <v>45</v>
      </c>
      <c r="FPL73" s="49" t="s">
        <v>42</v>
      </c>
      <c r="FPM73" s="49" t="s">
        <v>0</v>
      </c>
      <c r="FPN73" s="49">
        <v>0</v>
      </c>
      <c r="FPO73" s="49">
        <v>1</v>
      </c>
      <c r="FPP73" s="58">
        <v>2.5</v>
      </c>
      <c r="FPQ73" s="58">
        <v>5</v>
      </c>
      <c r="FPR73" s="58">
        <v>4</v>
      </c>
      <c r="FPS73" s="49">
        <f>INDEX($T$2:$T$11,MATCH(FPO73,$R$2:$R$11,0))</f>
        <v>0.37</v>
      </c>
      <c r="FPT73" s="49">
        <f t="shared" ref="FPT73:FRP73" si="140">FPP73*FPQ73*FPR73</f>
        <v>50</v>
      </c>
      <c r="FPU73" s="57">
        <f t="shared" ref="FPU73:FRQ73" si="141">FPS73*FPT73</f>
        <v>18.5</v>
      </c>
      <c r="FPV73" s="59" t="s">
        <v>44</v>
      </c>
      <c r="FPW73" s="49" t="s">
        <v>44</v>
      </c>
      <c r="FPX73" s="51">
        <v>45117</v>
      </c>
      <c r="FPY73" s="49"/>
      <c r="FPZ73" s="49" t="s">
        <v>43</v>
      </c>
      <c r="FQA73" s="49" t="s">
        <v>45</v>
      </c>
      <c r="FQB73" s="49" t="s">
        <v>42</v>
      </c>
      <c r="FQC73" s="49" t="s">
        <v>0</v>
      </c>
      <c r="FQD73" s="49">
        <v>0</v>
      </c>
      <c r="FQE73" s="49">
        <v>1</v>
      </c>
      <c r="FQF73" s="58">
        <v>2.5</v>
      </c>
      <c r="FQG73" s="58">
        <v>5</v>
      </c>
      <c r="FQH73" s="58">
        <v>4</v>
      </c>
      <c r="FQI73" s="49">
        <f>INDEX($T$2:$T$11,MATCH(FQE73,$R$2:$R$11,0))</f>
        <v>0.37</v>
      </c>
      <c r="FQJ73" s="49">
        <f t="shared" si="140"/>
        <v>50</v>
      </c>
      <c r="FQK73" s="57">
        <f t="shared" si="141"/>
        <v>18.5</v>
      </c>
      <c r="FQL73" s="59" t="s">
        <v>44</v>
      </c>
      <c r="FQM73" s="49" t="s">
        <v>44</v>
      </c>
      <c r="FQN73" s="51">
        <v>45117</v>
      </c>
      <c r="FQO73" s="49"/>
      <c r="FQP73" s="49" t="s">
        <v>43</v>
      </c>
      <c r="FQQ73" s="49" t="s">
        <v>45</v>
      </c>
      <c r="FQR73" s="49" t="s">
        <v>42</v>
      </c>
      <c r="FQS73" s="49" t="s">
        <v>0</v>
      </c>
      <c r="FQT73" s="49">
        <v>0</v>
      </c>
      <c r="FQU73" s="49">
        <v>1</v>
      </c>
      <c r="FQV73" s="58">
        <v>2.5</v>
      </c>
      <c r="FQW73" s="58">
        <v>5</v>
      </c>
      <c r="FQX73" s="58">
        <v>4</v>
      </c>
      <c r="FQY73" s="49">
        <f>INDEX($T$2:$T$11,MATCH(FQU73,$R$2:$R$11,0))</f>
        <v>0.37</v>
      </c>
      <c r="FQZ73" s="49">
        <f t="shared" si="140"/>
        <v>50</v>
      </c>
      <c r="FRA73" s="57">
        <f t="shared" si="141"/>
        <v>18.5</v>
      </c>
      <c r="FRB73" s="59" t="s">
        <v>44</v>
      </c>
      <c r="FRC73" s="49" t="s">
        <v>44</v>
      </c>
      <c r="FRD73" s="51">
        <v>45117</v>
      </c>
      <c r="FRE73" s="49"/>
      <c r="FRF73" s="49" t="s">
        <v>43</v>
      </c>
      <c r="FRG73" s="49" t="s">
        <v>45</v>
      </c>
      <c r="FRH73" s="49" t="s">
        <v>42</v>
      </c>
      <c r="FRI73" s="49" t="s">
        <v>0</v>
      </c>
      <c r="FRJ73" s="49">
        <v>0</v>
      </c>
      <c r="FRK73" s="49">
        <v>1</v>
      </c>
      <c r="FRL73" s="58">
        <v>2.5</v>
      </c>
      <c r="FRM73" s="58">
        <v>5</v>
      </c>
      <c r="FRN73" s="58">
        <v>4</v>
      </c>
      <c r="FRO73" s="49">
        <f>INDEX($T$2:$T$11,MATCH(FRK73,$R$2:$R$11,0))</f>
        <v>0.37</v>
      </c>
      <c r="FRP73" s="49">
        <f t="shared" si="140"/>
        <v>50</v>
      </c>
      <c r="FRQ73" s="57">
        <f t="shared" si="141"/>
        <v>18.5</v>
      </c>
      <c r="FRR73" s="59" t="s">
        <v>44</v>
      </c>
      <c r="FRS73" s="49" t="s">
        <v>44</v>
      </c>
      <c r="FRT73" s="51">
        <v>45117</v>
      </c>
      <c r="FRU73" s="49"/>
      <c r="FRV73" s="49" t="s">
        <v>43</v>
      </c>
      <c r="FRW73" s="49" t="s">
        <v>45</v>
      </c>
      <c r="FRX73" s="49" t="s">
        <v>42</v>
      </c>
      <c r="FRY73" s="49" t="s">
        <v>0</v>
      </c>
      <c r="FRZ73" s="49">
        <v>0</v>
      </c>
      <c r="FSA73" s="49">
        <v>1</v>
      </c>
      <c r="FSB73" s="58">
        <v>2.5</v>
      </c>
      <c r="FSC73" s="58">
        <v>5</v>
      </c>
      <c r="FSD73" s="58">
        <v>4</v>
      </c>
      <c r="FSE73" s="49">
        <f>INDEX($T$2:$T$11,MATCH(FSA73,$R$2:$R$11,0))</f>
        <v>0.37</v>
      </c>
      <c r="FSF73" s="49">
        <f t="shared" ref="FSF73:FUB73" si="142">FSB73*FSC73*FSD73</f>
        <v>50</v>
      </c>
      <c r="FSG73" s="57">
        <f t="shared" ref="FSG73:FUC73" si="143">FSE73*FSF73</f>
        <v>18.5</v>
      </c>
      <c r="FSH73" s="59" t="s">
        <v>44</v>
      </c>
      <c r="FSI73" s="49" t="s">
        <v>44</v>
      </c>
      <c r="FSJ73" s="51">
        <v>45117</v>
      </c>
      <c r="FSK73" s="49"/>
      <c r="FSL73" s="49" t="s">
        <v>43</v>
      </c>
      <c r="FSM73" s="49" t="s">
        <v>45</v>
      </c>
      <c r="FSN73" s="49" t="s">
        <v>42</v>
      </c>
      <c r="FSO73" s="49" t="s">
        <v>0</v>
      </c>
      <c r="FSP73" s="49">
        <v>0</v>
      </c>
      <c r="FSQ73" s="49">
        <v>1</v>
      </c>
      <c r="FSR73" s="58">
        <v>2.5</v>
      </c>
      <c r="FSS73" s="58">
        <v>5</v>
      </c>
      <c r="FST73" s="58">
        <v>4</v>
      </c>
      <c r="FSU73" s="49">
        <f>INDEX($T$2:$T$11,MATCH(FSQ73,$R$2:$R$11,0))</f>
        <v>0.37</v>
      </c>
      <c r="FSV73" s="49">
        <f t="shared" si="142"/>
        <v>50</v>
      </c>
      <c r="FSW73" s="57">
        <f t="shared" si="143"/>
        <v>18.5</v>
      </c>
      <c r="FSX73" s="59" t="s">
        <v>44</v>
      </c>
      <c r="FSY73" s="49" t="s">
        <v>44</v>
      </c>
      <c r="FSZ73" s="51">
        <v>45117</v>
      </c>
      <c r="FTA73" s="49"/>
      <c r="FTB73" s="49" t="s">
        <v>43</v>
      </c>
      <c r="FTC73" s="49" t="s">
        <v>45</v>
      </c>
      <c r="FTD73" s="49" t="s">
        <v>42</v>
      </c>
      <c r="FTE73" s="49" t="s">
        <v>0</v>
      </c>
      <c r="FTF73" s="49">
        <v>0</v>
      </c>
      <c r="FTG73" s="49">
        <v>1</v>
      </c>
      <c r="FTH73" s="58">
        <v>2.5</v>
      </c>
      <c r="FTI73" s="58">
        <v>5</v>
      </c>
      <c r="FTJ73" s="58">
        <v>4</v>
      </c>
      <c r="FTK73" s="49">
        <f>INDEX($T$2:$T$11,MATCH(FTG73,$R$2:$R$11,0))</f>
        <v>0.37</v>
      </c>
      <c r="FTL73" s="49">
        <f t="shared" si="142"/>
        <v>50</v>
      </c>
      <c r="FTM73" s="57">
        <f t="shared" si="143"/>
        <v>18.5</v>
      </c>
      <c r="FTN73" s="59" t="s">
        <v>44</v>
      </c>
      <c r="FTO73" s="49" t="s">
        <v>44</v>
      </c>
      <c r="FTP73" s="51">
        <v>45117</v>
      </c>
      <c r="FTQ73" s="49"/>
      <c r="FTR73" s="49" t="s">
        <v>43</v>
      </c>
      <c r="FTS73" s="49" t="s">
        <v>45</v>
      </c>
      <c r="FTT73" s="49" t="s">
        <v>42</v>
      </c>
      <c r="FTU73" s="49" t="s">
        <v>0</v>
      </c>
      <c r="FTV73" s="49">
        <v>0</v>
      </c>
      <c r="FTW73" s="49">
        <v>1</v>
      </c>
      <c r="FTX73" s="58">
        <v>2.5</v>
      </c>
      <c r="FTY73" s="58">
        <v>5</v>
      </c>
      <c r="FTZ73" s="58">
        <v>4</v>
      </c>
      <c r="FUA73" s="49">
        <f>INDEX($T$2:$T$11,MATCH(FTW73,$R$2:$R$11,0))</f>
        <v>0.37</v>
      </c>
      <c r="FUB73" s="49">
        <f t="shared" si="142"/>
        <v>50</v>
      </c>
      <c r="FUC73" s="57">
        <f t="shared" si="143"/>
        <v>18.5</v>
      </c>
      <c r="FUD73" s="59" t="s">
        <v>44</v>
      </c>
      <c r="FUE73" s="49" t="s">
        <v>44</v>
      </c>
      <c r="FUF73" s="51">
        <v>45117</v>
      </c>
      <c r="FUG73" s="49"/>
      <c r="FUH73" s="49" t="s">
        <v>43</v>
      </c>
      <c r="FUI73" s="49" t="s">
        <v>45</v>
      </c>
      <c r="FUJ73" s="49" t="s">
        <v>42</v>
      </c>
      <c r="FUK73" s="49" t="s">
        <v>0</v>
      </c>
      <c r="FUL73" s="49">
        <v>0</v>
      </c>
      <c r="FUM73" s="49">
        <v>1</v>
      </c>
      <c r="FUN73" s="58">
        <v>2.5</v>
      </c>
      <c r="FUO73" s="58">
        <v>5</v>
      </c>
      <c r="FUP73" s="58">
        <v>4</v>
      </c>
      <c r="FUQ73" s="49">
        <f>INDEX($T$2:$T$11,MATCH(FUM73,$R$2:$R$11,0))</f>
        <v>0.37</v>
      </c>
      <c r="FUR73" s="49">
        <f t="shared" ref="FUR73:FWN73" si="144">FUN73*FUO73*FUP73</f>
        <v>50</v>
      </c>
      <c r="FUS73" s="57">
        <f t="shared" ref="FUS73:FWO73" si="145">FUQ73*FUR73</f>
        <v>18.5</v>
      </c>
      <c r="FUT73" s="59" t="s">
        <v>44</v>
      </c>
      <c r="FUU73" s="49" t="s">
        <v>44</v>
      </c>
      <c r="FUV73" s="51">
        <v>45117</v>
      </c>
      <c r="FUW73" s="49"/>
      <c r="FUX73" s="49" t="s">
        <v>43</v>
      </c>
      <c r="FUY73" s="49" t="s">
        <v>45</v>
      </c>
      <c r="FUZ73" s="49" t="s">
        <v>42</v>
      </c>
      <c r="FVA73" s="49" t="s">
        <v>0</v>
      </c>
      <c r="FVB73" s="49">
        <v>0</v>
      </c>
      <c r="FVC73" s="49">
        <v>1</v>
      </c>
      <c r="FVD73" s="58">
        <v>2.5</v>
      </c>
      <c r="FVE73" s="58">
        <v>5</v>
      </c>
      <c r="FVF73" s="58">
        <v>4</v>
      </c>
      <c r="FVG73" s="49">
        <f>INDEX($T$2:$T$11,MATCH(FVC73,$R$2:$R$11,0))</f>
        <v>0.37</v>
      </c>
      <c r="FVH73" s="49">
        <f t="shared" si="144"/>
        <v>50</v>
      </c>
      <c r="FVI73" s="57">
        <f t="shared" si="145"/>
        <v>18.5</v>
      </c>
      <c r="FVJ73" s="59" t="s">
        <v>44</v>
      </c>
      <c r="FVK73" s="49" t="s">
        <v>44</v>
      </c>
      <c r="FVL73" s="51">
        <v>45117</v>
      </c>
      <c r="FVM73" s="49"/>
      <c r="FVN73" s="49" t="s">
        <v>43</v>
      </c>
      <c r="FVO73" s="49" t="s">
        <v>45</v>
      </c>
      <c r="FVP73" s="49" t="s">
        <v>42</v>
      </c>
      <c r="FVQ73" s="49" t="s">
        <v>0</v>
      </c>
      <c r="FVR73" s="49">
        <v>0</v>
      </c>
      <c r="FVS73" s="49">
        <v>1</v>
      </c>
      <c r="FVT73" s="58">
        <v>2.5</v>
      </c>
      <c r="FVU73" s="58">
        <v>5</v>
      </c>
      <c r="FVV73" s="58">
        <v>4</v>
      </c>
      <c r="FVW73" s="49">
        <f>INDEX($T$2:$T$11,MATCH(FVS73,$R$2:$R$11,0))</f>
        <v>0.37</v>
      </c>
      <c r="FVX73" s="49">
        <f t="shared" si="144"/>
        <v>50</v>
      </c>
      <c r="FVY73" s="57">
        <f t="shared" si="145"/>
        <v>18.5</v>
      </c>
      <c r="FVZ73" s="59" t="s">
        <v>44</v>
      </c>
      <c r="FWA73" s="49" t="s">
        <v>44</v>
      </c>
      <c r="FWB73" s="51">
        <v>45117</v>
      </c>
      <c r="FWC73" s="49"/>
      <c r="FWD73" s="49" t="s">
        <v>43</v>
      </c>
      <c r="FWE73" s="49" t="s">
        <v>45</v>
      </c>
      <c r="FWF73" s="49" t="s">
        <v>42</v>
      </c>
      <c r="FWG73" s="49" t="s">
        <v>0</v>
      </c>
      <c r="FWH73" s="49">
        <v>0</v>
      </c>
      <c r="FWI73" s="49">
        <v>1</v>
      </c>
      <c r="FWJ73" s="58">
        <v>2.5</v>
      </c>
      <c r="FWK73" s="58">
        <v>5</v>
      </c>
      <c r="FWL73" s="58">
        <v>4</v>
      </c>
      <c r="FWM73" s="49">
        <f>INDEX($T$2:$T$11,MATCH(FWI73,$R$2:$R$11,0))</f>
        <v>0.37</v>
      </c>
      <c r="FWN73" s="49">
        <f t="shared" si="144"/>
        <v>50</v>
      </c>
      <c r="FWO73" s="57">
        <f t="shared" si="145"/>
        <v>18.5</v>
      </c>
      <c r="FWP73" s="59" t="s">
        <v>44</v>
      </c>
      <c r="FWQ73" s="49" t="s">
        <v>44</v>
      </c>
      <c r="FWR73" s="51">
        <v>45117</v>
      </c>
      <c r="FWS73" s="49"/>
      <c r="FWT73" s="49" t="s">
        <v>43</v>
      </c>
      <c r="FWU73" s="49" t="s">
        <v>45</v>
      </c>
      <c r="FWV73" s="49" t="s">
        <v>42</v>
      </c>
      <c r="FWW73" s="49" t="s">
        <v>0</v>
      </c>
      <c r="FWX73" s="49">
        <v>0</v>
      </c>
      <c r="FWY73" s="49">
        <v>1</v>
      </c>
      <c r="FWZ73" s="58">
        <v>2.5</v>
      </c>
      <c r="FXA73" s="58">
        <v>5</v>
      </c>
      <c r="FXB73" s="58">
        <v>4</v>
      </c>
      <c r="FXC73" s="49">
        <f>INDEX($T$2:$T$11,MATCH(FWY73,$R$2:$R$11,0))</f>
        <v>0.37</v>
      </c>
      <c r="FXD73" s="49">
        <f t="shared" ref="FXD73:FYZ73" si="146">FWZ73*FXA73*FXB73</f>
        <v>50</v>
      </c>
      <c r="FXE73" s="57">
        <f t="shared" ref="FXE73:FZA73" si="147">FXC73*FXD73</f>
        <v>18.5</v>
      </c>
      <c r="FXF73" s="59" t="s">
        <v>44</v>
      </c>
      <c r="FXG73" s="49" t="s">
        <v>44</v>
      </c>
      <c r="FXH73" s="51">
        <v>45117</v>
      </c>
      <c r="FXI73" s="49"/>
      <c r="FXJ73" s="49" t="s">
        <v>43</v>
      </c>
      <c r="FXK73" s="49" t="s">
        <v>45</v>
      </c>
      <c r="FXL73" s="49" t="s">
        <v>42</v>
      </c>
      <c r="FXM73" s="49" t="s">
        <v>0</v>
      </c>
      <c r="FXN73" s="49">
        <v>0</v>
      </c>
      <c r="FXO73" s="49">
        <v>1</v>
      </c>
      <c r="FXP73" s="58">
        <v>2.5</v>
      </c>
      <c r="FXQ73" s="58">
        <v>5</v>
      </c>
      <c r="FXR73" s="58">
        <v>4</v>
      </c>
      <c r="FXS73" s="49">
        <f>INDEX($T$2:$T$11,MATCH(FXO73,$R$2:$R$11,0))</f>
        <v>0.37</v>
      </c>
      <c r="FXT73" s="49">
        <f t="shared" si="146"/>
        <v>50</v>
      </c>
      <c r="FXU73" s="57">
        <f t="shared" si="147"/>
        <v>18.5</v>
      </c>
      <c r="FXV73" s="59" t="s">
        <v>44</v>
      </c>
      <c r="FXW73" s="49" t="s">
        <v>44</v>
      </c>
      <c r="FXX73" s="51">
        <v>45117</v>
      </c>
      <c r="FXY73" s="49"/>
      <c r="FXZ73" s="49" t="s">
        <v>43</v>
      </c>
      <c r="FYA73" s="49" t="s">
        <v>45</v>
      </c>
      <c r="FYB73" s="49" t="s">
        <v>42</v>
      </c>
      <c r="FYC73" s="49" t="s">
        <v>0</v>
      </c>
      <c r="FYD73" s="49">
        <v>0</v>
      </c>
      <c r="FYE73" s="49">
        <v>1</v>
      </c>
      <c r="FYF73" s="58">
        <v>2.5</v>
      </c>
      <c r="FYG73" s="58">
        <v>5</v>
      </c>
      <c r="FYH73" s="58">
        <v>4</v>
      </c>
      <c r="FYI73" s="49">
        <f>INDEX($T$2:$T$11,MATCH(FYE73,$R$2:$R$11,0))</f>
        <v>0.37</v>
      </c>
      <c r="FYJ73" s="49">
        <f t="shared" si="146"/>
        <v>50</v>
      </c>
      <c r="FYK73" s="57">
        <f t="shared" si="147"/>
        <v>18.5</v>
      </c>
      <c r="FYL73" s="59" t="s">
        <v>44</v>
      </c>
      <c r="FYM73" s="49" t="s">
        <v>44</v>
      </c>
      <c r="FYN73" s="51">
        <v>45117</v>
      </c>
      <c r="FYO73" s="49"/>
      <c r="FYP73" s="49" t="s">
        <v>43</v>
      </c>
      <c r="FYQ73" s="49" t="s">
        <v>45</v>
      </c>
      <c r="FYR73" s="49" t="s">
        <v>42</v>
      </c>
      <c r="FYS73" s="49" t="s">
        <v>0</v>
      </c>
      <c r="FYT73" s="49">
        <v>0</v>
      </c>
      <c r="FYU73" s="49">
        <v>1</v>
      </c>
      <c r="FYV73" s="58">
        <v>2.5</v>
      </c>
      <c r="FYW73" s="58">
        <v>5</v>
      </c>
      <c r="FYX73" s="58">
        <v>4</v>
      </c>
      <c r="FYY73" s="49">
        <f>INDEX($T$2:$T$11,MATCH(FYU73,$R$2:$R$11,0))</f>
        <v>0.37</v>
      </c>
      <c r="FYZ73" s="49">
        <f t="shared" si="146"/>
        <v>50</v>
      </c>
      <c r="FZA73" s="57">
        <f t="shared" si="147"/>
        <v>18.5</v>
      </c>
      <c r="FZB73" s="59" t="s">
        <v>44</v>
      </c>
      <c r="FZC73" s="49" t="s">
        <v>44</v>
      </c>
      <c r="FZD73" s="51">
        <v>45117</v>
      </c>
      <c r="FZE73" s="49"/>
      <c r="FZF73" s="49" t="s">
        <v>43</v>
      </c>
      <c r="FZG73" s="49" t="s">
        <v>45</v>
      </c>
      <c r="FZH73" s="49" t="s">
        <v>42</v>
      </c>
      <c r="FZI73" s="49" t="s">
        <v>0</v>
      </c>
      <c r="FZJ73" s="49">
        <v>0</v>
      </c>
      <c r="FZK73" s="49">
        <v>1</v>
      </c>
      <c r="FZL73" s="58">
        <v>2.5</v>
      </c>
      <c r="FZM73" s="58">
        <v>5</v>
      </c>
      <c r="FZN73" s="58">
        <v>4</v>
      </c>
      <c r="FZO73" s="49">
        <f>INDEX($T$2:$T$11,MATCH(FZK73,$R$2:$R$11,0))</f>
        <v>0.37</v>
      </c>
      <c r="FZP73" s="49">
        <f t="shared" ref="FZP73:GBL73" si="148">FZL73*FZM73*FZN73</f>
        <v>50</v>
      </c>
      <c r="FZQ73" s="57">
        <f t="shared" ref="FZQ73:GBM73" si="149">FZO73*FZP73</f>
        <v>18.5</v>
      </c>
      <c r="FZR73" s="59" t="s">
        <v>44</v>
      </c>
      <c r="FZS73" s="49" t="s">
        <v>44</v>
      </c>
      <c r="FZT73" s="51">
        <v>45117</v>
      </c>
      <c r="FZU73" s="49"/>
      <c r="FZV73" s="49" t="s">
        <v>43</v>
      </c>
      <c r="FZW73" s="49" t="s">
        <v>45</v>
      </c>
      <c r="FZX73" s="49" t="s">
        <v>42</v>
      </c>
      <c r="FZY73" s="49" t="s">
        <v>0</v>
      </c>
      <c r="FZZ73" s="49">
        <v>0</v>
      </c>
      <c r="GAA73" s="49">
        <v>1</v>
      </c>
      <c r="GAB73" s="58">
        <v>2.5</v>
      </c>
      <c r="GAC73" s="58">
        <v>5</v>
      </c>
      <c r="GAD73" s="58">
        <v>4</v>
      </c>
      <c r="GAE73" s="49">
        <f>INDEX($T$2:$T$11,MATCH(GAA73,$R$2:$R$11,0))</f>
        <v>0.37</v>
      </c>
      <c r="GAF73" s="49">
        <f t="shared" si="148"/>
        <v>50</v>
      </c>
      <c r="GAG73" s="57">
        <f t="shared" si="149"/>
        <v>18.5</v>
      </c>
      <c r="GAH73" s="59" t="s">
        <v>44</v>
      </c>
      <c r="GAI73" s="49" t="s">
        <v>44</v>
      </c>
      <c r="GAJ73" s="51">
        <v>45117</v>
      </c>
      <c r="GAK73" s="49"/>
      <c r="GAL73" s="49" t="s">
        <v>43</v>
      </c>
      <c r="GAM73" s="49" t="s">
        <v>45</v>
      </c>
      <c r="GAN73" s="49" t="s">
        <v>42</v>
      </c>
      <c r="GAO73" s="49" t="s">
        <v>0</v>
      </c>
      <c r="GAP73" s="49">
        <v>0</v>
      </c>
      <c r="GAQ73" s="49">
        <v>1</v>
      </c>
      <c r="GAR73" s="58">
        <v>2.5</v>
      </c>
      <c r="GAS73" s="58">
        <v>5</v>
      </c>
      <c r="GAT73" s="58">
        <v>4</v>
      </c>
      <c r="GAU73" s="49">
        <f>INDEX($T$2:$T$11,MATCH(GAQ73,$R$2:$R$11,0))</f>
        <v>0.37</v>
      </c>
      <c r="GAV73" s="49">
        <f t="shared" si="148"/>
        <v>50</v>
      </c>
      <c r="GAW73" s="57">
        <f t="shared" si="149"/>
        <v>18.5</v>
      </c>
      <c r="GAX73" s="59" t="s">
        <v>44</v>
      </c>
      <c r="GAY73" s="49" t="s">
        <v>44</v>
      </c>
      <c r="GAZ73" s="51">
        <v>45117</v>
      </c>
      <c r="GBA73" s="49"/>
      <c r="GBB73" s="49" t="s">
        <v>43</v>
      </c>
      <c r="GBC73" s="49" t="s">
        <v>45</v>
      </c>
      <c r="GBD73" s="49" t="s">
        <v>42</v>
      </c>
      <c r="GBE73" s="49" t="s">
        <v>0</v>
      </c>
      <c r="GBF73" s="49">
        <v>0</v>
      </c>
      <c r="GBG73" s="49">
        <v>1</v>
      </c>
      <c r="GBH73" s="58">
        <v>2.5</v>
      </c>
      <c r="GBI73" s="58">
        <v>5</v>
      </c>
      <c r="GBJ73" s="58">
        <v>4</v>
      </c>
      <c r="GBK73" s="49">
        <f>INDEX($T$2:$T$11,MATCH(GBG73,$R$2:$R$11,0))</f>
        <v>0.37</v>
      </c>
      <c r="GBL73" s="49">
        <f t="shared" si="148"/>
        <v>50</v>
      </c>
      <c r="GBM73" s="57">
        <f t="shared" si="149"/>
        <v>18.5</v>
      </c>
      <c r="GBN73" s="59" t="s">
        <v>44</v>
      </c>
      <c r="GBO73" s="49" t="s">
        <v>44</v>
      </c>
      <c r="GBP73" s="51">
        <v>45117</v>
      </c>
      <c r="GBQ73" s="49"/>
      <c r="GBR73" s="49" t="s">
        <v>43</v>
      </c>
      <c r="GBS73" s="49" t="s">
        <v>45</v>
      </c>
      <c r="GBT73" s="49" t="s">
        <v>42</v>
      </c>
      <c r="GBU73" s="49" t="s">
        <v>0</v>
      </c>
      <c r="GBV73" s="49">
        <v>0</v>
      </c>
      <c r="GBW73" s="49">
        <v>1</v>
      </c>
      <c r="GBX73" s="58">
        <v>2.5</v>
      </c>
      <c r="GBY73" s="58">
        <v>5</v>
      </c>
      <c r="GBZ73" s="58">
        <v>4</v>
      </c>
      <c r="GCA73" s="49">
        <f>INDEX($T$2:$T$11,MATCH(GBW73,$R$2:$R$11,0))</f>
        <v>0.37</v>
      </c>
      <c r="GCB73" s="49">
        <f t="shared" ref="GCB73:GDX73" si="150">GBX73*GBY73*GBZ73</f>
        <v>50</v>
      </c>
      <c r="GCC73" s="57">
        <f t="shared" ref="GCC73:GDY73" si="151">GCA73*GCB73</f>
        <v>18.5</v>
      </c>
      <c r="GCD73" s="59" t="s">
        <v>44</v>
      </c>
      <c r="GCE73" s="49" t="s">
        <v>44</v>
      </c>
      <c r="GCF73" s="51">
        <v>45117</v>
      </c>
      <c r="GCG73" s="49"/>
      <c r="GCH73" s="49" t="s">
        <v>43</v>
      </c>
      <c r="GCI73" s="49" t="s">
        <v>45</v>
      </c>
      <c r="GCJ73" s="49" t="s">
        <v>42</v>
      </c>
      <c r="GCK73" s="49" t="s">
        <v>0</v>
      </c>
      <c r="GCL73" s="49">
        <v>0</v>
      </c>
      <c r="GCM73" s="49">
        <v>1</v>
      </c>
      <c r="GCN73" s="58">
        <v>2.5</v>
      </c>
      <c r="GCO73" s="58">
        <v>5</v>
      </c>
      <c r="GCP73" s="58">
        <v>4</v>
      </c>
      <c r="GCQ73" s="49">
        <f>INDEX($T$2:$T$11,MATCH(GCM73,$R$2:$R$11,0))</f>
        <v>0.37</v>
      </c>
      <c r="GCR73" s="49">
        <f t="shared" si="150"/>
        <v>50</v>
      </c>
      <c r="GCS73" s="57">
        <f t="shared" si="151"/>
        <v>18.5</v>
      </c>
      <c r="GCT73" s="59" t="s">
        <v>44</v>
      </c>
      <c r="GCU73" s="49" t="s">
        <v>44</v>
      </c>
      <c r="GCV73" s="51">
        <v>45117</v>
      </c>
      <c r="GCW73" s="49"/>
      <c r="GCX73" s="49" t="s">
        <v>43</v>
      </c>
      <c r="GCY73" s="49" t="s">
        <v>45</v>
      </c>
      <c r="GCZ73" s="49" t="s">
        <v>42</v>
      </c>
      <c r="GDA73" s="49" t="s">
        <v>0</v>
      </c>
      <c r="GDB73" s="49">
        <v>0</v>
      </c>
      <c r="GDC73" s="49">
        <v>1</v>
      </c>
      <c r="GDD73" s="58">
        <v>2.5</v>
      </c>
      <c r="GDE73" s="58">
        <v>5</v>
      </c>
      <c r="GDF73" s="58">
        <v>4</v>
      </c>
      <c r="GDG73" s="49">
        <f>INDEX($T$2:$T$11,MATCH(GDC73,$R$2:$R$11,0))</f>
        <v>0.37</v>
      </c>
      <c r="GDH73" s="49">
        <f t="shared" si="150"/>
        <v>50</v>
      </c>
      <c r="GDI73" s="57">
        <f t="shared" si="151"/>
        <v>18.5</v>
      </c>
      <c r="GDJ73" s="59" t="s">
        <v>44</v>
      </c>
      <c r="GDK73" s="49" t="s">
        <v>44</v>
      </c>
      <c r="GDL73" s="51">
        <v>45117</v>
      </c>
      <c r="GDM73" s="49"/>
      <c r="GDN73" s="49" t="s">
        <v>43</v>
      </c>
      <c r="GDO73" s="49" t="s">
        <v>45</v>
      </c>
      <c r="GDP73" s="49" t="s">
        <v>42</v>
      </c>
      <c r="GDQ73" s="49" t="s">
        <v>0</v>
      </c>
      <c r="GDR73" s="49">
        <v>0</v>
      </c>
      <c r="GDS73" s="49">
        <v>1</v>
      </c>
      <c r="GDT73" s="58">
        <v>2.5</v>
      </c>
      <c r="GDU73" s="58">
        <v>5</v>
      </c>
      <c r="GDV73" s="58">
        <v>4</v>
      </c>
      <c r="GDW73" s="49">
        <f>INDEX($T$2:$T$11,MATCH(GDS73,$R$2:$R$11,0))</f>
        <v>0.37</v>
      </c>
      <c r="GDX73" s="49">
        <f t="shared" si="150"/>
        <v>50</v>
      </c>
      <c r="GDY73" s="57">
        <f t="shared" si="151"/>
        <v>18.5</v>
      </c>
      <c r="GDZ73" s="59" t="s">
        <v>44</v>
      </c>
      <c r="GEA73" s="49" t="s">
        <v>44</v>
      </c>
      <c r="GEB73" s="51">
        <v>45117</v>
      </c>
      <c r="GEC73" s="49"/>
      <c r="GED73" s="49" t="s">
        <v>43</v>
      </c>
      <c r="GEE73" s="49" t="s">
        <v>45</v>
      </c>
      <c r="GEF73" s="49" t="s">
        <v>42</v>
      </c>
      <c r="GEG73" s="49" t="s">
        <v>0</v>
      </c>
      <c r="GEH73" s="49">
        <v>0</v>
      </c>
      <c r="GEI73" s="49">
        <v>1</v>
      </c>
      <c r="GEJ73" s="58">
        <v>2.5</v>
      </c>
      <c r="GEK73" s="58">
        <v>5</v>
      </c>
      <c r="GEL73" s="58">
        <v>4</v>
      </c>
      <c r="GEM73" s="49">
        <f>INDEX($T$2:$T$11,MATCH(GEI73,$R$2:$R$11,0))</f>
        <v>0.37</v>
      </c>
      <c r="GEN73" s="49">
        <f t="shared" ref="GEN73:GGJ73" si="152">GEJ73*GEK73*GEL73</f>
        <v>50</v>
      </c>
      <c r="GEO73" s="57">
        <f t="shared" ref="GEO73:GGK73" si="153">GEM73*GEN73</f>
        <v>18.5</v>
      </c>
      <c r="GEP73" s="59" t="s">
        <v>44</v>
      </c>
      <c r="GEQ73" s="49" t="s">
        <v>44</v>
      </c>
      <c r="GER73" s="51">
        <v>45117</v>
      </c>
      <c r="GES73" s="49"/>
      <c r="GET73" s="49" t="s">
        <v>43</v>
      </c>
      <c r="GEU73" s="49" t="s">
        <v>45</v>
      </c>
      <c r="GEV73" s="49" t="s">
        <v>42</v>
      </c>
      <c r="GEW73" s="49" t="s">
        <v>0</v>
      </c>
      <c r="GEX73" s="49">
        <v>0</v>
      </c>
      <c r="GEY73" s="49">
        <v>1</v>
      </c>
      <c r="GEZ73" s="58">
        <v>2.5</v>
      </c>
      <c r="GFA73" s="58">
        <v>5</v>
      </c>
      <c r="GFB73" s="58">
        <v>4</v>
      </c>
      <c r="GFC73" s="49">
        <f>INDEX($T$2:$T$11,MATCH(GEY73,$R$2:$R$11,0))</f>
        <v>0.37</v>
      </c>
      <c r="GFD73" s="49">
        <f t="shared" si="152"/>
        <v>50</v>
      </c>
      <c r="GFE73" s="57">
        <f t="shared" si="153"/>
        <v>18.5</v>
      </c>
      <c r="GFF73" s="59" t="s">
        <v>44</v>
      </c>
      <c r="GFG73" s="49" t="s">
        <v>44</v>
      </c>
      <c r="GFH73" s="51">
        <v>45117</v>
      </c>
      <c r="GFI73" s="49"/>
      <c r="GFJ73" s="49" t="s">
        <v>43</v>
      </c>
      <c r="GFK73" s="49" t="s">
        <v>45</v>
      </c>
      <c r="GFL73" s="49" t="s">
        <v>42</v>
      </c>
      <c r="GFM73" s="49" t="s">
        <v>0</v>
      </c>
      <c r="GFN73" s="49">
        <v>0</v>
      </c>
      <c r="GFO73" s="49">
        <v>1</v>
      </c>
      <c r="GFP73" s="58">
        <v>2.5</v>
      </c>
      <c r="GFQ73" s="58">
        <v>5</v>
      </c>
      <c r="GFR73" s="58">
        <v>4</v>
      </c>
      <c r="GFS73" s="49">
        <f>INDEX($T$2:$T$11,MATCH(GFO73,$R$2:$R$11,0))</f>
        <v>0.37</v>
      </c>
      <c r="GFT73" s="49">
        <f t="shared" si="152"/>
        <v>50</v>
      </c>
      <c r="GFU73" s="57">
        <f t="shared" si="153"/>
        <v>18.5</v>
      </c>
      <c r="GFV73" s="59" t="s">
        <v>44</v>
      </c>
      <c r="GFW73" s="49" t="s">
        <v>44</v>
      </c>
      <c r="GFX73" s="51">
        <v>45117</v>
      </c>
      <c r="GFY73" s="49"/>
      <c r="GFZ73" s="49" t="s">
        <v>43</v>
      </c>
      <c r="GGA73" s="49" t="s">
        <v>45</v>
      </c>
      <c r="GGB73" s="49" t="s">
        <v>42</v>
      </c>
      <c r="GGC73" s="49" t="s">
        <v>0</v>
      </c>
      <c r="GGD73" s="49">
        <v>0</v>
      </c>
      <c r="GGE73" s="49">
        <v>1</v>
      </c>
      <c r="GGF73" s="58">
        <v>2.5</v>
      </c>
      <c r="GGG73" s="58">
        <v>5</v>
      </c>
      <c r="GGH73" s="58">
        <v>4</v>
      </c>
      <c r="GGI73" s="49">
        <f>INDEX($T$2:$T$11,MATCH(GGE73,$R$2:$R$11,0))</f>
        <v>0.37</v>
      </c>
      <c r="GGJ73" s="49">
        <f t="shared" si="152"/>
        <v>50</v>
      </c>
      <c r="GGK73" s="57">
        <f t="shared" si="153"/>
        <v>18.5</v>
      </c>
      <c r="GGL73" s="59" t="s">
        <v>44</v>
      </c>
      <c r="GGM73" s="49" t="s">
        <v>44</v>
      </c>
      <c r="GGN73" s="51">
        <v>45117</v>
      </c>
      <c r="GGO73" s="49"/>
      <c r="GGP73" s="49" t="s">
        <v>43</v>
      </c>
      <c r="GGQ73" s="49" t="s">
        <v>45</v>
      </c>
      <c r="GGR73" s="49" t="s">
        <v>42</v>
      </c>
      <c r="GGS73" s="49" t="s">
        <v>0</v>
      </c>
      <c r="GGT73" s="49">
        <v>0</v>
      </c>
      <c r="GGU73" s="49">
        <v>1</v>
      </c>
      <c r="GGV73" s="58">
        <v>2.5</v>
      </c>
      <c r="GGW73" s="58">
        <v>5</v>
      </c>
      <c r="GGX73" s="58">
        <v>4</v>
      </c>
      <c r="GGY73" s="49">
        <f>INDEX($T$2:$T$11,MATCH(GGU73,$R$2:$R$11,0))</f>
        <v>0.37</v>
      </c>
      <c r="GGZ73" s="49">
        <f t="shared" ref="GGZ73:GIV73" si="154">GGV73*GGW73*GGX73</f>
        <v>50</v>
      </c>
      <c r="GHA73" s="57">
        <f t="shared" ref="GHA73:GIW73" si="155">GGY73*GGZ73</f>
        <v>18.5</v>
      </c>
      <c r="GHB73" s="59" t="s">
        <v>44</v>
      </c>
      <c r="GHC73" s="49" t="s">
        <v>44</v>
      </c>
      <c r="GHD73" s="51">
        <v>45117</v>
      </c>
      <c r="GHE73" s="49"/>
      <c r="GHF73" s="49" t="s">
        <v>43</v>
      </c>
      <c r="GHG73" s="49" t="s">
        <v>45</v>
      </c>
      <c r="GHH73" s="49" t="s">
        <v>42</v>
      </c>
      <c r="GHI73" s="49" t="s">
        <v>0</v>
      </c>
      <c r="GHJ73" s="49">
        <v>0</v>
      </c>
      <c r="GHK73" s="49">
        <v>1</v>
      </c>
      <c r="GHL73" s="58">
        <v>2.5</v>
      </c>
      <c r="GHM73" s="58">
        <v>5</v>
      </c>
      <c r="GHN73" s="58">
        <v>4</v>
      </c>
      <c r="GHO73" s="49">
        <f>INDEX($T$2:$T$11,MATCH(GHK73,$R$2:$R$11,0))</f>
        <v>0.37</v>
      </c>
      <c r="GHP73" s="49">
        <f t="shared" si="154"/>
        <v>50</v>
      </c>
      <c r="GHQ73" s="57">
        <f t="shared" si="155"/>
        <v>18.5</v>
      </c>
      <c r="GHR73" s="59" t="s">
        <v>44</v>
      </c>
      <c r="GHS73" s="49" t="s">
        <v>44</v>
      </c>
      <c r="GHT73" s="51">
        <v>45117</v>
      </c>
      <c r="GHU73" s="49"/>
      <c r="GHV73" s="49" t="s">
        <v>43</v>
      </c>
      <c r="GHW73" s="49" t="s">
        <v>45</v>
      </c>
      <c r="GHX73" s="49" t="s">
        <v>42</v>
      </c>
      <c r="GHY73" s="49" t="s">
        <v>0</v>
      </c>
      <c r="GHZ73" s="49">
        <v>0</v>
      </c>
      <c r="GIA73" s="49">
        <v>1</v>
      </c>
      <c r="GIB73" s="58">
        <v>2.5</v>
      </c>
      <c r="GIC73" s="58">
        <v>5</v>
      </c>
      <c r="GID73" s="58">
        <v>4</v>
      </c>
      <c r="GIE73" s="49">
        <f>INDEX($T$2:$T$11,MATCH(GIA73,$R$2:$R$11,0))</f>
        <v>0.37</v>
      </c>
      <c r="GIF73" s="49">
        <f t="shared" si="154"/>
        <v>50</v>
      </c>
      <c r="GIG73" s="57">
        <f t="shared" si="155"/>
        <v>18.5</v>
      </c>
      <c r="GIH73" s="59" t="s">
        <v>44</v>
      </c>
      <c r="GII73" s="49" t="s">
        <v>44</v>
      </c>
      <c r="GIJ73" s="51">
        <v>45117</v>
      </c>
      <c r="GIK73" s="49"/>
      <c r="GIL73" s="49" t="s">
        <v>43</v>
      </c>
      <c r="GIM73" s="49" t="s">
        <v>45</v>
      </c>
      <c r="GIN73" s="49" t="s">
        <v>42</v>
      </c>
      <c r="GIO73" s="49" t="s">
        <v>0</v>
      </c>
      <c r="GIP73" s="49">
        <v>0</v>
      </c>
      <c r="GIQ73" s="49">
        <v>1</v>
      </c>
      <c r="GIR73" s="58">
        <v>2.5</v>
      </c>
      <c r="GIS73" s="58">
        <v>5</v>
      </c>
      <c r="GIT73" s="58">
        <v>4</v>
      </c>
      <c r="GIU73" s="49">
        <f>INDEX($T$2:$T$11,MATCH(GIQ73,$R$2:$R$11,0))</f>
        <v>0.37</v>
      </c>
      <c r="GIV73" s="49">
        <f t="shared" si="154"/>
        <v>50</v>
      </c>
      <c r="GIW73" s="57">
        <f t="shared" si="155"/>
        <v>18.5</v>
      </c>
      <c r="GIX73" s="59" t="s">
        <v>44</v>
      </c>
      <c r="GIY73" s="49" t="s">
        <v>44</v>
      </c>
      <c r="GIZ73" s="51">
        <v>45117</v>
      </c>
      <c r="GJA73" s="49"/>
      <c r="GJB73" s="49" t="s">
        <v>43</v>
      </c>
      <c r="GJC73" s="49" t="s">
        <v>45</v>
      </c>
      <c r="GJD73" s="49" t="s">
        <v>42</v>
      </c>
      <c r="GJE73" s="49" t="s">
        <v>0</v>
      </c>
      <c r="GJF73" s="49">
        <v>0</v>
      </c>
      <c r="GJG73" s="49">
        <v>1</v>
      </c>
      <c r="GJH73" s="58">
        <v>2.5</v>
      </c>
      <c r="GJI73" s="58">
        <v>5</v>
      </c>
      <c r="GJJ73" s="58">
        <v>4</v>
      </c>
      <c r="GJK73" s="49">
        <f>INDEX($T$2:$T$11,MATCH(GJG73,$R$2:$R$11,0))</f>
        <v>0.37</v>
      </c>
      <c r="GJL73" s="49">
        <f t="shared" ref="GJL73:GLH73" si="156">GJH73*GJI73*GJJ73</f>
        <v>50</v>
      </c>
      <c r="GJM73" s="57">
        <f t="shared" ref="GJM73:GLI73" si="157">GJK73*GJL73</f>
        <v>18.5</v>
      </c>
      <c r="GJN73" s="59" t="s">
        <v>44</v>
      </c>
      <c r="GJO73" s="49" t="s">
        <v>44</v>
      </c>
      <c r="GJP73" s="51">
        <v>45117</v>
      </c>
      <c r="GJQ73" s="49"/>
      <c r="GJR73" s="49" t="s">
        <v>43</v>
      </c>
      <c r="GJS73" s="49" t="s">
        <v>45</v>
      </c>
      <c r="GJT73" s="49" t="s">
        <v>42</v>
      </c>
      <c r="GJU73" s="49" t="s">
        <v>0</v>
      </c>
      <c r="GJV73" s="49">
        <v>0</v>
      </c>
      <c r="GJW73" s="49">
        <v>1</v>
      </c>
      <c r="GJX73" s="58">
        <v>2.5</v>
      </c>
      <c r="GJY73" s="58">
        <v>5</v>
      </c>
      <c r="GJZ73" s="58">
        <v>4</v>
      </c>
      <c r="GKA73" s="49">
        <f>INDEX($T$2:$T$11,MATCH(GJW73,$R$2:$R$11,0))</f>
        <v>0.37</v>
      </c>
      <c r="GKB73" s="49">
        <f t="shared" si="156"/>
        <v>50</v>
      </c>
      <c r="GKC73" s="57">
        <f t="shared" si="157"/>
        <v>18.5</v>
      </c>
      <c r="GKD73" s="59" t="s">
        <v>44</v>
      </c>
      <c r="GKE73" s="49" t="s">
        <v>44</v>
      </c>
      <c r="GKF73" s="51">
        <v>45117</v>
      </c>
      <c r="GKG73" s="49"/>
      <c r="GKH73" s="49" t="s">
        <v>43</v>
      </c>
      <c r="GKI73" s="49" t="s">
        <v>45</v>
      </c>
      <c r="GKJ73" s="49" t="s">
        <v>42</v>
      </c>
      <c r="GKK73" s="49" t="s">
        <v>0</v>
      </c>
      <c r="GKL73" s="49">
        <v>0</v>
      </c>
      <c r="GKM73" s="49">
        <v>1</v>
      </c>
      <c r="GKN73" s="58">
        <v>2.5</v>
      </c>
      <c r="GKO73" s="58">
        <v>5</v>
      </c>
      <c r="GKP73" s="58">
        <v>4</v>
      </c>
      <c r="GKQ73" s="49">
        <f>INDEX($T$2:$T$11,MATCH(GKM73,$R$2:$R$11,0))</f>
        <v>0.37</v>
      </c>
      <c r="GKR73" s="49">
        <f t="shared" si="156"/>
        <v>50</v>
      </c>
      <c r="GKS73" s="57">
        <f t="shared" si="157"/>
        <v>18.5</v>
      </c>
      <c r="GKT73" s="59" t="s">
        <v>44</v>
      </c>
      <c r="GKU73" s="49" t="s">
        <v>44</v>
      </c>
      <c r="GKV73" s="51">
        <v>45117</v>
      </c>
      <c r="GKW73" s="49"/>
      <c r="GKX73" s="49" t="s">
        <v>43</v>
      </c>
      <c r="GKY73" s="49" t="s">
        <v>45</v>
      </c>
      <c r="GKZ73" s="49" t="s">
        <v>42</v>
      </c>
      <c r="GLA73" s="49" t="s">
        <v>0</v>
      </c>
      <c r="GLB73" s="49">
        <v>0</v>
      </c>
      <c r="GLC73" s="49">
        <v>1</v>
      </c>
      <c r="GLD73" s="58">
        <v>2.5</v>
      </c>
      <c r="GLE73" s="58">
        <v>5</v>
      </c>
      <c r="GLF73" s="58">
        <v>4</v>
      </c>
      <c r="GLG73" s="49">
        <f>INDEX($T$2:$T$11,MATCH(GLC73,$R$2:$R$11,0))</f>
        <v>0.37</v>
      </c>
      <c r="GLH73" s="49">
        <f t="shared" si="156"/>
        <v>50</v>
      </c>
      <c r="GLI73" s="57">
        <f t="shared" si="157"/>
        <v>18.5</v>
      </c>
      <c r="GLJ73" s="59" t="s">
        <v>44</v>
      </c>
      <c r="GLK73" s="49" t="s">
        <v>44</v>
      </c>
      <c r="GLL73" s="51">
        <v>45117</v>
      </c>
      <c r="GLM73" s="49"/>
      <c r="GLN73" s="49" t="s">
        <v>43</v>
      </c>
      <c r="GLO73" s="49" t="s">
        <v>45</v>
      </c>
      <c r="GLP73" s="49" t="s">
        <v>42</v>
      </c>
      <c r="GLQ73" s="49" t="s">
        <v>0</v>
      </c>
      <c r="GLR73" s="49">
        <v>0</v>
      </c>
      <c r="GLS73" s="49">
        <v>1</v>
      </c>
      <c r="GLT73" s="58">
        <v>2.5</v>
      </c>
      <c r="GLU73" s="58">
        <v>5</v>
      </c>
      <c r="GLV73" s="58">
        <v>4</v>
      </c>
      <c r="GLW73" s="49">
        <f>INDEX($T$2:$T$11,MATCH(GLS73,$R$2:$R$11,0))</f>
        <v>0.37</v>
      </c>
      <c r="GLX73" s="49">
        <f t="shared" ref="GLX73:GNT73" si="158">GLT73*GLU73*GLV73</f>
        <v>50</v>
      </c>
      <c r="GLY73" s="57">
        <f t="shared" ref="GLY73:GNU73" si="159">GLW73*GLX73</f>
        <v>18.5</v>
      </c>
      <c r="GLZ73" s="59" t="s">
        <v>44</v>
      </c>
      <c r="GMA73" s="49" t="s">
        <v>44</v>
      </c>
      <c r="GMB73" s="51">
        <v>45117</v>
      </c>
      <c r="GMC73" s="49"/>
      <c r="GMD73" s="49" t="s">
        <v>43</v>
      </c>
      <c r="GME73" s="49" t="s">
        <v>45</v>
      </c>
      <c r="GMF73" s="49" t="s">
        <v>42</v>
      </c>
      <c r="GMG73" s="49" t="s">
        <v>0</v>
      </c>
      <c r="GMH73" s="49">
        <v>0</v>
      </c>
      <c r="GMI73" s="49">
        <v>1</v>
      </c>
      <c r="GMJ73" s="58">
        <v>2.5</v>
      </c>
      <c r="GMK73" s="58">
        <v>5</v>
      </c>
      <c r="GML73" s="58">
        <v>4</v>
      </c>
      <c r="GMM73" s="49">
        <f>INDEX($T$2:$T$11,MATCH(GMI73,$R$2:$R$11,0))</f>
        <v>0.37</v>
      </c>
      <c r="GMN73" s="49">
        <f t="shared" si="158"/>
        <v>50</v>
      </c>
      <c r="GMO73" s="57">
        <f t="shared" si="159"/>
        <v>18.5</v>
      </c>
      <c r="GMP73" s="59" t="s">
        <v>44</v>
      </c>
      <c r="GMQ73" s="49" t="s">
        <v>44</v>
      </c>
      <c r="GMR73" s="51">
        <v>45117</v>
      </c>
      <c r="GMS73" s="49"/>
      <c r="GMT73" s="49" t="s">
        <v>43</v>
      </c>
      <c r="GMU73" s="49" t="s">
        <v>45</v>
      </c>
      <c r="GMV73" s="49" t="s">
        <v>42</v>
      </c>
      <c r="GMW73" s="49" t="s">
        <v>0</v>
      </c>
      <c r="GMX73" s="49">
        <v>0</v>
      </c>
      <c r="GMY73" s="49">
        <v>1</v>
      </c>
      <c r="GMZ73" s="58">
        <v>2.5</v>
      </c>
      <c r="GNA73" s="58">
        <v>5</v>
      </c>
      <c r="GNB73" s="58">
        <v>4</v>
      </c>
      <c r="GNC73" s="49">
        <f>INDEX($T$2:$T$11,MATCH(GMY73,$R$2:$R$11,0))</f>
        <v>0.37</v>
      </c>
      <c r="GND73" s="49">
        <f t="shared" si="158"/>
        <v>50</v>
      </c>
      <c r="GNE73" s="57">
        <f t="shared" si="159"/>
        <v>18.5</v>
      </c>
      <c r="GNF73" s="59" t="s">
        <v>44</v>
      </c>
      <c r="GNG73" s="49" t="s">
        <v>44</v>
      </c>
      <c r="GNH73" s="51">
        <v>45117</v>
      </c>
      <c r="GNI73" s="49"/>
      <c r="GNJ73" s="49" t="s">
        <v>43</v>
      </c>
      <c r="GNK73" s="49" t="s">
        <v>45</v>
      </c>
      <c r="GNL73" s="49" t="s">
        <v>42</v>
      </c>
      <c r="GNM73" s="49" t="s">
        <v>0</v>
      </c>
      <c r="GNN73" s="49">
        <v>0</v>
      </c>
      <c r="GNO73" s="49">
        <v>1</v>
      </c>
      <c r="GNP73" s="58">
        <v>2.5</v>
      </c>
      <c r="GNQ73" s="58">
        <v>5</v>
      </c>
      <c r="GNR73" s="58">
        <v>4</v>
      </c>
      <c r="GNS73" s="49">
        <f>INDEX($T$2:$T$11,MATCH(GNO73,$R$2:$R$11,0))</f>
        <v>0.37</v>
      </c>
      <c r="GNT73" s="49">
        <f t="shared" si="158"/>
        <v>50</v>
      </c>
      <c r="GNU73" s="57">
        <f t="shared" si="159"/>
        <v>18.5</v>
      </c>
      <c r="GNV73" s="59" t="s">
        <v>44</v>
      </c>
      <c r="GNW73" s="49" t="s">
        <v>44</v>
      </c>
      <c r="GNX73" s="51">
        <v>45117</v>
      </c>
      <c r="GNY73" s="49"/>
      <c r="GNZ73" s="49" t="s">
        <v>43</v>
      </c>
      <c r="GOA73" s="49" t="s">
        <v>45</v>
      </c>
      <c r="GOB73" s="49" t="s">
        <v>42</v>
      </c>
      <c r="GOC73" s="49" t="s">
        <v>0</v>
      </c>
      <c r="GOD73" s="49">
        <v>0</v>
      </c>
      <c r="GOE73" s="49">
        <v>1</v>
      </c>
      <c r="GOF73" s="58">
        <v>2.5</v>
      </c>
      <c r="GOG73" s="58">
        <v>5</v>
      </c>
      <c r="GOH73" s="58">
        <v>4</v>
      </c>
      <c r="GOI73" s="49">
        <f>INDEX($T$2:$T$11,MATCH(GOE73,$R$2:$R$11,0))</f>
        <v>0.37</v>
      </c>
      <c r="GOJ73" s="49">
        <f t="shared" ref="GOJ73:GQF73" si="160">GOF73*GOG73*GOH73</f>
        <v>50</v>
      </c>
      <c r="GOK73" s="57">
        <f t="shared" ref="GOK73:GQG73" si="161">GOI73*GOJ73</f>
        <v>18.5</v>
      </c>
      <c r="GOL73" s="59" t="s">
        <v>44</v>
      </c>
      <c r="GOM73" s="49" t="s">
        <v>44</v>
      </c>
      <c r="GON73" s="51">
        <v>45117</v>
      </c>
      <c r="GOO73" s="49"/>
      <c r="GOP73" s="49" t="s">
        <v>43</v>
      </c>
      <c r="GOQ73" s="49" t="s">
        <v>45</v>
      </c>
      <c r="GOR73" s="49" t="s">
        <v>42</v>
      </c>
      <c r="GOS73" s="49" t="s">
        <v>0</v>
      </c>
      <c r="GOT73" s="49">
        <v>0</v>
      </c>
      <c r="GOU73" s="49">
        <v>1</v>
      </c>
      <c r="GOV73" s="58">
        <v>2.5</v>
      </c>
      <c r="GOW73" s="58">
        <v>5</v>
      </c>
      <c r="GOX73" s="58">
        <v>4</v>
      </c>
      <c r="GOY73" s="49">
        <f>INDEX($T$2:$T$11,MATCH(GOU73,$R$2:$R$11,0))</f>
        <v>0.37</v>
      </c>
      <c r="GOZ73" s="49">
        <f t="shared" si="160"/>
        <v>50</v>
      </c>
      <c r="GPA73" s="57">
        <f t="shared" si="161"/>
        <v>18.5</v>
      </c>
      <c r="GPB73" s="59" t="s">
        <v>44</v>
      </c>
      <c r="GPC73" s="49" t="s">
        <v>44</v>
      </c>
      <c r="GPD73" s="51">
        <v>45117</v>
      </c>
      <c r="GPE73" s="49"/>
      <c r="GPF73" s="49" t="s">
        <v>43</v>
      </c>
      <c r="GPG73" s="49" t="s">
        <v>45</v>
      </c>
      <c r="GPH73" s="49" t="s">
        <v>42</v>
      </c>
      <c r="GPI73" s="49" t="s">
        <v>0</v>
      </c>
      <c r="GPJ73" s="49">
        <v>0</v>
      </c>
      <c r="GPK73" s="49">
        <v>1</v>
      </c>
      <c r="GPL73" s="58">
        <v>2.5</v>
      </c>
      <c r="GPM73" s="58">
        <v>5</v>
      </c>
      <c r="GPN73" s="58">
        <v>4</v>
      </c>
      <c r="GPO73" s="49">
        <f>INDEX($T$2:$T$11,MATCH(GPK73,$R$2:$R$11,0))</f>
        <v>0.37</v>
      </c>
      <c r="GPP73" s="49">
        <f t="shared" si="160"/>
        <v>50</v>
      </c>
      <c r="GPQ73" s="57">
        <f t="shared" si="161"/>
        <v>18.5</v>
      </c>
      <c r="GPR73" s="59" t="s">
        <v>44</v>
      </c>
      <c r="GPS73" s="49" t="s">
        <v>44</v>
      </c>
      <c r="GPT73" s="51">
        <v>45117</v>
      </c>
      <c r="GPU73" s="49"/>
      <c r="GPV73" s="49" t="s">
        <v>43</v>
      </c>
      <c r="GPW73" s="49" t="s">
        <v>45</v>
      </c>
      <c r="GPX73" s="49" t="s">
        <v>42</v>
      </c>
      <c r="GPY73" s="49" t="s">
        <v>0</v>
      </c>
      <c r="GPZ73" s="49">
        <v>0</v>
      </c>
      <c r="GQA73" s="49">
        <v>1</v>
      </c>
      <c r="GQB73" s="58">
        <v>2.5</v>
      </c>
      <c r="GQC73" s="58">
        <v>5</v>
      </c>
      <c r="GQD73" s="58">
        <v>4</v>
      </c>
      <c r="GQE73" s="49">
        <f>INDEX($T$2:$T$11,MATCH(GQA73,$R$2:$R$11,0))</f>
        <v>0.37</v>
      </c>
      <c r="GQF73" s="49">
        <f t="shared" si="160"/>
        <v>50</v>
      </c>
      <c r="GQG73" s="57">
        <f t="shared" si="161"/>
        <v>18.5</v>
      </c>
      <c r="GQH73" s="59" t="s">
        <v>44</v>
      </c>
      <c r="GQI73" s="49" t="s">
        <v>44</v>
      </c>
      <c r="GQJ73" s="51">
        <v>45117</v>
      </c>
      <c r="GQK73" s="49"/>
      <c r="GQL73" s="49" t="s">
        <v>43</v>
      </c>
      <c r="GQM73" s="49" t="s">
        <v>45</v>
      </c>
      <c r="GQN73" s="49" t="s">
        <v>42</v>
      </c>
      <c r="GQO73" s="49" t="s">
        <v>0</v>
      </c>
      <c r="GQP73" s="49">
        <v>0</v>
      </c>
      <c r="GQQ73" s="49">
        <v>1</v>
      </c>
      <c r="GQR73" s="58">
        <v>2.5</v>
      </c>
      <c r="GQS73" s="58">
        <v>5</v>
      </c>
      <c r="GQT73" s="58">
        <v>4</v>
      </c>
      <c r="GQU73" s="49">
        <f>INDEX($T$2:$T$11,MATCH(GQQ73,$R$2:$R$11,0))</f>
        <v>0.37</v>
      </c>
      <c r="GQV73" s="49">
        <f t="shared" ref="GQV73:GSR73" si="162">GQR73*GQS73*GQT73</f>
        <v>50</v>
      </c>
      <c r="GQW73" s="57">
        <f t="shared" ref="GQW73:GSS73" si="163">GQU73*GQV73</f>
        <v>18.5</v>
      </c>
      <c r="GQX73" s="59" t="s">
        <v>44</v>
      </c>
      <c r="GQY73" s="49" t="s">
        <v>44</v>
      </c>
      <c r="GQZ73" s="51">
        <v>45117</v>
      </c>
      <c r="GRA73" s="49"/>
      <c r="GRB73" s="49" t="s">
        <v>43</v>
      </c>
      <c r="GRC73" s="49" t="s">
        <v>45</v>
      </c>
      <c r="GRD73" s="49" t="s">
        <v>42</v>
      </c>
      <c r="GRE73" s="49" t="s">
        <v>0</v>
      </c>
      <c r="GRF73" s="49">
        <v>0</v>
      </c>
      <c r="GRG73" s="49">
        <v>1</v>
      </c>
      <c r="GRH73" s="58">
        <v>2.5</v>
      </c>
      <c r="GRI73" s="58">
        <v>5</v>
      </c>
      <c r="GRJ73" s="58">
        <v>4</v>
      </c>
      <c r="GRK73" s="49">
        <f>INDEX($T$2:$T$11,MATCH(GRG73,$R$2:$R$11,0))</f>
        <v>0.37</v>
      </c>
      <c r="GRL73" s="49">
        <f t="shared" si="162"/>
        <v>50</v>
      </c>
      <c r="GRM73" s="57">
        <f t="shared" si="163"/>
        <v>18.5</v>
      </c>
      <c r="GRN73" s="59" t="s">
        <v>44</v>
      </c>
      <c r="GRO73" s="49" t="s">
        <v>44</v>
      </c>
      <c r="GRP73" s="51">
        <v>45117</v>
      </c>
      <c r="GRQ73" s="49"/>
      <c r="GRR73" s="49" t="s">
        <v>43</v>
      </c>
      <c r="GRS73" s="49" t="s">
        <v>45</v>
      </c>
      <c r="GRT73" s="49" t="s">
        <v>42</v>
      </c>
      <c r="GRU73" s="49" t="s">
        <v>0</v>
      </c>
      <c r="GRV73" s="49">
        <v>0</v>
      </c>
      <c r="GRW73" s="49">
        <v>1</v>
      </c>
      <c r="GRX73" s="58">
        <v>2.5</v>
      </c>
      <c r="GRY73" s="58">
        <v>5</v>
      </c>
      <c r="GRZ73" s="58">
        <v>4</v>
      </c>
      <c r="GSA73" s="49">
        <f>INDEX($T$2:$T$11,MATCH(GRW73,$R$2:$R$11,0))</f>
        <v>0.37</v>
      </c>
      <c r="GSB73" s="49">
        <f t="shared" si="162"/>
        <v>50</v>
      </c>
      <c r="GSC73" s="57">
        <f t="shared" si="163"/>
        <v>18.5</v>
      </c>
      <c r="GSD73" s="59" t="s">
        <v>44</v>
      </c>
      <c r="GSE73" s="49" t="s">
        <v>44</v>
      </c>
      <c r="GSF73" s="51">
        <v>45117</v>
      </c>
      <c r="GSG73" s="49"/>
      <c r="GSH73" s="49" t="s">
        <v>43</v>
      </c>
      <c r="GSI73" s="49" t="s">
        <v>45</v>
      </c>
      <c r="GSJ73" s="49" t="s">
        <v>42</v>
      </c>
      <c r="GSK73" s="49" t="s">
        <v>0</v>
      </c>
      <c r="GSL73" s="49">
        <v>0</v>
      </c>
      <c r="GSM73" s="49">
        <v>1</v>
      </c>
      <c r="GSN73" s="58">
        <v>2.5</v>
      </c>
      <c r="GSO73" s="58">
        <v>5</v>
      </c>
      <c r="GSP73" s="58">
        <v>4</v>
      </c>
      <c r="GSQ73" s="49">
        <f>INDEX($T$2:$T$11,MATCH(GSM73,$R$2:$R$11,0))</f>
        <v>0.37</v>
      </c>
      <c r="GSR73" s="49">
        <f t="shared" si="162"/>
        <v>50</v>
      </c>
      <c r="GSS73" s="57">
        <f t="shared" si="163"/>
        <v>18.5</v>
      </c>
      <c r="GST73" s="59" t="s">
        <v>44</v>
      </c>
      <c r="GSU73" s="49" t="s">
        <v>44</v>
      </c>
      <c r="GSV73" s="51">
        <v>45117</v>
      </c>
      <c r="GSW73" s="49"/>
      <c r="GSX73" s="49" t="s">
        <v>43</v>
      </c>
      <c r="GSY73" s="49" t="s">
        <v>45</v>
      </c>
      <c r="GSZ73" s="49" t="s">
        <v>42</v>
      </c>
      <c r="GTA73" s="49" t="s">
        <v>0</v>
      </c>
      <c r="GTB73" s="49">
        <v>0</v>
      </c>
      <c r="GTC73" s="49">
        <v>1</v>
      </c>
      <c r="GTD73" s="58">
        <v>2.5</v>
      </c>
      <c r="GTE73" s="58">
        <v>5</v>
      </c>
      <c r="GTF73" s="58">
        <v>4</v>
      </c>
      <c r="GTG73" s="49">
        <f>INDEX($T$2:$T$11,MATCH(GTC73,$R$2:$R$11,0))</f>
        <v>0.37</v>
      </c>
      <c r="GTH73" s="49">
        <f t="shared" ref="GTH73:GVD73" si="164">GTD73*GTE73*GTF73</f>
        <v>50</v>
      </c>
      <c r="GTI73" s="57">
        <f t="shared" ref="GTI73:GVE73" si="165">GTG73*GTH73</f>
        <v>18.5</v>
      </c>
      <c r="GTJ73" s="59" t="s">
        <v>44</v>
      </c>
      <c r="GTK73" s="49" t="s">
        <v>44</v>
      </c>
      <c r="GTL73" s="51">
        <v>45117</v>
      </c>
      <c r="GTM73" s="49"/>
      <c r="GTN73" s="49" t="s">
        <v>43</v>
      </c>
      <c r="GTO73" s="49" t="s">
        <v>45</v>
      </c>
      <c r="GTP73" s="49" t="s">
        <v>42</v>
      </c>
      <c r="GTQ73" s="49" t="s">
        <v>0</v>
      </c>
      <c r="GTR73" s="49">
        <v>0</v>
      </c>
      <c r="GTS73" s="49">
        <v>1</v>
      </c>
      <c r="GTT73" s="58">
        <v>2.5</v>
      </c>
      <c r="GTU73" s="58">
        <v>5</v>
      </c>
      <c r="GTV73" s="58">
        <v>4</v>
      </c>
      <c r="GTW73" s="49">
        <f>INDEX($T$2:$T$11,MATCH(GTS73,$R$2:$R$11,0))</f>
        <v>0.37</v>
      </c>
      <c r="GTX73" s="49">
        <f t="shared" si="164"/>
        <v>50</v>
      </c>
      <c r="GTY73" s="57">
        <f t="shared" si="165"/>
        <v>18.5</v>
      </c>
      <c r="GTZ73" s="59" t="s">
        <v>44</v>
      </c>
      <c r="GUA73" s="49" t="s">
        <v>44</v>
      </c>
      <c r="GUB73" s="51">
        <v>45117</v>
      </c>
      <c r="GUC73" s="49"/>
      <c r="GUD73" s="49" t="s">
        <v>43</v>
      </c>
      <c r="GUE73" s="49" t="s">
        <v>45</v>
      </c>
      <c r="GUF73" s="49" t="s">
        <v>42</v>
      </c>
      <c r="GUG73" s="49" t="s">
        <v>0</v>
      </c>
      <c r="GUH73" s="49">
        <v>0</v>
      </c>
      <c r="GUI73" s="49">
        <v>1</v>
      </c>
      <c r="GUJ73" s="58">
        <v>2.5</v>
      </c>
      <c r="GUK73" s="58">
        <v>5</v>
      </c>
      <c r="GUL73" s="58">
        <v>4</v>
      </c>
      <c r="GUM73" s="49">
        <f>INDEX($T$2:$T$11,MATCH(GUI73,$R$2:$R$11,0))</f>
        <v>0.37</v>
      </c>
      <c r="GUN73" s="49">
        <f t="shared" si="164"/>
        <v>50</v>
      </c>
      <c r="GUO73" s="57">
        <f t="shared" si="165"/>
        <v>18.5</v>
      </c>
      <c r="GUP73" s="59" t="s">
        <v>44</v>
      </c>
      <c r="GUQ73" s="49" t="s">
        <v>44</v>
      </c>
      <c r="GUR73" s="51">
        <v>45117</v>
      </c>
      <c r="GUS73" s="49"/>
      <c r="GUT73" s="49" t="s">
        <v>43</v>
      </c>
      <c r="GUU73" s="49" t="s">
        <v>45</v>
      </c>
      <c r="GUV73" s="49" t="s">
        <v>42</v>
      </c>
      <c r="GUW73" s="49" t="s">
        <v>0</v>
      </c>
      <c r="GUX73" s="49">
        <v>0</v>
      </c>
      <c r="GUY73" s="49">
        <v>1</v>
      </c>
      <c r="GUZ73" s="58">
        <v>2.5</v>
      </c>
      <c r="GVA73" s="58">
        <v>5</v>
      </c>
      <c r="GVB73" s="58">
        <v>4</v>
      </c>
      <c r="GVC73" s="49">
        <f>INDEX($T$2:$T$11,MATCH(GUY73,$R$2:$R$11,0))</f>
        <v>0.37</v>
      </c>
      <c r="GVD73" s="49">
        <f t="shared" si="164"/>
        <v>50</v>
      </c>
      <c r="GVE73" s="57">
        <f t="shared" si="165"/>
        <v>18.5</v>
      </c>
      <c r="GVF73" s="59" t="s">
        <v>44</v>
      </c>
      <c r="GVG73" s="49" t="s">
        <v>44</v>
      </c>
      <c r="GVH73" s="51">
        <v>45117</v>
      </c>
      <c r="GVI73" s="49"/>
      <c r="GVJ73" s="49" t="s">
        <v>43</v>
      </c>
      <c r="GVK73" s="49" t="s">
        <v>45</v>
      </c>
      <c r="GVL73" s="49" t="s">
        <v>42</v>
      </c>
      <c r="GVM73" s="49" t="s">
        <v>0</v>
      </c>
      <c r="GVN73" s="49">
        <v>0</v>
      </c>
      <c r="GVO73" s="49">
        <v>1</v>
      </c>
      <c r="GVP73" s="58">
        <v>2.5</v>
      </c>
      <c r="GVQ73" s="58">
        <v>5</v>
      </c>
      <c r="GVR73" s="58">
        <v>4</v>
      </c>
      <c r="GVS73" s="49">
        <f>INDEX($T$2:$T$11,MATCH(GVO73,$R$2:$R$11,0))</f>
        <v>0.37</v>
      </c>
      <c r="GVT73" s="49">
        <f t="shared" ref="GVT73:GXP73" si="166">GVP73*GVQ73*GVR73</f>
        <v>50</v>
      </c>
      <c r="GVU73" s="57">
        <f t="shared" ref="GVU73:GXQ73" si="167">GVS73*GVT73</f>
        <v>18.5</v>
      </c>
      <c r="GVV73" s="59" t="s">
        <v>44</v>
      </c>
      <c r="GVW73" s="49" t="s">
        <v>44</v>
      </c>
      <c r="GVX73" s="51">
        <v>45117</v>
      </c>
      <c r="GVY73" s="49"/>
      <c r="GVZ73" s="49" t="s">
        <v>43</v>
      </c>
      <c r="GWA73" s="49" t="s">
        <v>45</v>
      </c>
      <c r="GWB73" s="49" t="s">
        <v>42</v>
      </c>
      <c r="GWC73" s="49" t="s">
        <v>0</v>
      </c>
      <c r="GWD73" s="49">
        <v>0</v>
      </c>
      <c r="GWE73" s="49">
        <v>1</v>
      </c>
      <c r="GWF73" s="58">
        <v>2.5</v>
      </c>
      <c r="GWG73" s="58">
        <v>5</v>
      </c>
      <c r="GWH73" s="58">
        <v>4</v>
      </c>
      <c r="GWI73" s="49">
        <f>INDEX($T$2:$T$11,MATCH(GWE73,$R$2:$R$11,0))</f>
        <v>0.37</v>
      </c>
      <c r="GWJ73" s="49">
        <f t="shared" si="166"/>
        <v>50</v>
      </c>
      <c r="GWK73" s="57">
        <f t="shared" si="167"/>
        <v>18.5</v>
      </c>
      <c r="GWL73" s="59" t="s">
        <v>44</v>
      </c>
      <c r="GWM73" s="49" t="s">
        <v>44</v>
      </c>
      <c r="GWN73" s="51">
        <v>45117</v>
      </c>
      <c r="GWO73" s="49"/>
      <c r="GWP73" s="49" t="s">
        <v>43</v>
      </c>
      <c r="GWQ73" s="49" t="s">
        <v>45</v>
      </c>
      <c r="GWR73" s="49" t="s">
        <v>42</v>
      </c>
      <c r="GWS73" s="49" t="s">
        <v>0</v>
      </c>
      <c r="GWT73" s="49">
        <v>0</v>
      </c>
      <c r="GWU73" s="49">
        <v>1</v>
      </c>
      <c r="GWV73" s="58">
        <v>2.5</v>
      </c>
      <c r="GWW73" s="58">
        <v>5</v>
      </c>
      <c r="GWX73" s="58">
        <v>4</v>
      </c>
      <c r="GWY73" s="49">
        <f>INDEX($T$2:$T$11,MATCH(GWU73,$R$2:$R$11,0))</f>
        <v>0.37</v>
      </c>
      <c r="GWZ73" s="49">
        <f t="shared" si="166"/>
        <v>50</v>
      </c>
      <c r="GXA73" s="57">
        <f t="shared" si="167"/>
        <v>18.5</v>
      </c>
      <c r="GXB73" s="59" t="s">
        <v>44</v>
      </c>
      <c r="GXC73" s="49" t="s">
        <v>44</v>
      </c>
      <c r="GXD73" s="51">
        <v>45117</v>
      </c>
      <c r="GXE73" s="49"/>
      <c r="GXF73" s="49" t="s">
        <v>43</v>
      </c>
      <c r="GXG73" s="49" t="s">
        <v>45</v>
      </c>
      <c r="GXH73" s="49" t="s">
        <v>42</v>
      </c>
      <c r="GXI73" s="49" t="s">
        <v>0</v>
      </c>
      <c r="GXJ73" s="49">
        <v>0</v>
      </c>
      <c r="GXK73" s="49">
        <v>1</v>
      </c>
      <c r="GXL73" s="58">
        <v>2.5</v>
      </c>
      <c r="GXM73" s="58">
        <v>5</v>
      </c>
      <c r="GXN73" s="58">
        <v>4</v>
      </c>
      <c r="GXO73" s="49">
        <f>INDEX($T$2:$T$11,MATCH(GXK73,$R$2:$R$11,0))</f>
        <v>0.37</v>
      </c>
      <c r="GXP73" s="49">
        <f t="shared" si="166"/>
        <v>50</v>
      </c>
      <c r="GXQ73" s="57">
        <f t="shared" si="167"/>
        <v>18.5</v>
      </c>
      <c r="GXR73" s="59" t="s">
        <v>44</v>
      </c>
      <c r="GXS73" s="49" t="s">
        <v>44</v>
      </c>
      <c r="GXT73" s="51">
        <v>45117</v>
      </c>
      <c r="GXU73" s="49"/>
      <c r="GXV73" s="49" t="s">
        <v>43</v>
      </c>
      <c r="GXW73" s="49" t="s">
        <v>45</v>
      </c>
      <c r="GXX73" s="49" t="s">
        <v>42</v>
      </c>
      <c r="GXY73" s="49" t="s">
        <v>0</v>
      </c>
      <c r="GXZ73" s="49">
        <v>0</v>
      </c>
      <c r="GYA73" s="49">
        <v>1</v>
      </c>
      <c r="GYB73" s="58">
        <v>2.5</v>
      </c>
      <c r="GYC73" s="58">
        <v>5</v>
      </c>
      <c r="GYD73" s="58">
        <v>4</v>
      </c>
      <c r="GYE73" s="49">
        <f>INDEX($T$2:$T$11,MATCH(GYA73,$R$2:$R$11,0))</f>
        <v>0.37</v>
      </c>
      <c r="GYF73" s="49">
        <f t="shared" ref="GYF73:HAB73" si="168">GYB73*GYC73*GYD73</f>
        <v>50</v>
      </c>
      <c r="GYG73" s="57">
        <f t="shared" ref="GYG73:HAC73" si="169">GYE73*GYF73</f>
        <v>18.5</v>
      </c>
      <c r="GYH73" s="59" t="s">
        <v>44</v>
      </c>
      <c r="GYI73" s="49" t="s">
        <v>44</v>
      </c>
      <c r="GYJ73" s="51">
        <v>45117</v>
      </c>
      <c r="GYK73" s="49"/>
      <c r="GYL73" s="49" t="s">
        <v>43</v>
      </c>
      <c r="GYM73" s="49" t="s">
        <v>45</v>
      </c>
      <c r="GYN73" s="49" t="s">
        <v>42</v>
      </c>
      <c r="GYO73" s="49" t="s">
        <v>0</v>
      </c>
      <c r="GYP73" s="49">
        <v>0</v>
      </c>
      <c r="GYQ73" s="49">
        <v>1</v>
      </c>
      <c r="GYR73" s="58">
        <v>2.5</v>
      </c>
      <c r="GYS73" s="58">
        <v>5</v>
      </c>
      <c r="GYT73" s="58">
        <v>4</v>
      </c>
      <c r="GYU73" s="49">
        <f>INDEX($T$2:$T$11,MATCH(GYQ73,$R$2:$R$11,0))</f>
        <v>0.37</v>
      </c>
      <c r="GYV73" s="49">
        <f t="shared" si="168"/>
        <v>50</v>
      </c>
      <c r="GYW73" s="57">
        <f t="shared" si="169"/>
        <v>18.5</v>
      </c>
      <c r="GYX73" s="59" t="s">
        <v>44</v>
      </c>
      <c r="GYY73" s="49" t="s">
        <v>44</v>
      </c>
      <c r="GYZ73" s="51">
        <v>45117</v>
      </c>
      <c r="GZA73" s="49"/>
      <c r="GZB73" s="49" t="s">
        <v>43</v>
      </c>
      <c r="GZC73" s="49" t="s">
        <v>45</v>
      </c>
      <c r="GZD73" s="49" t="s">
        <v>42</v>
      </c>
      <c r="GZE73" s="49" t="s">
        <v>0</v>
      </c>
      <c r="GZF73" s="49">
        <v>0</v>
      </c>
      <c r="GZG73" s="49">
        <v>1</v>
      </c>
      <c r="GZH73" s="58">
        <v>2.5</v>
      </c>
      <c r="GZI73" s="58">
        <v>5</v>
      </c>
      <c r="GZJ73" s="58">
        <v>4</v>
      </c>
      <c r="GZK73" s="49">
        <f>INDEX($T$2:$T$11,MATCH(GZG73,$R$2:$R$11,0))</f>
        <v>0.37</v>
      </c>
      <c r="GZL73" s="49">
        <f t="shared" si="168"/>
        <v>50</v>
      </c>
      <c r="GZM73" s="57">
        <f t="shared" si="169"/>
        <v>18.5</v>
      </c>
      <c r="GZN73" s="59" t="s">
        <v>44</v>
      </c>
      <c r="GZO73" s="49" t="s">
        <v>44</v>
      </c>
      <c r="GZP73" s="51">
        <v>45117</v>
      </c>
      <c r="GZQ73" s="49"/>
      <c r="GZR73" s="49" t="s">
        <v>43</v>
      </c>
      <c r="GZS73" s="49" t="s">
        <v>45</v>
      </c>
      <c r="GZT73" s="49" t="s">
        <v>42</v>
      </c>
      <c r="GZU73" s="49" t="s">
        <v>0</v>
      </c>
      <c r="GZV73" s="49">
        <v>0</v>
      </c>
      <c r="GZW73" s="49">
        <v>1</v>
      </c>
      <c r="GZX73" s="58">
        <v>2.5</v>
      </c>
      <c r="GZY73" s="58">
        <v>5</v>
      </c>
      <c r="GZZ73" s="58">
        <v>4</v>
      </c>
      <c r="HAA73" s="49">
        <f>INDEX($T$2:$T$11,MATCH(GZW73,$R$2:$R$11,0))</f>
        <v>0.37</v>
      </c>
      <c r="HAB73" s="49">
        <f t="shared" si="168"/>
        <v>50</v>
      </c>
      <c r="HAC73" s="57">
        <f t="shared" si="169"/>
        <v>18.5</v>
      </c>
      <c r="HAD73" s="59" t="s">
        <v>44</v>
      </c>
      <c r="HAE73" s="49" t="s">
        <v>44</v>
      </c>
      <c r="HAF73" s="51">
        <v>45117</v>
      </c>
      <c r="HAG73" s="49"/>
      <c r="HAH73" s="49" t="s">
        <v>43</v>
      </c>
      <c r="HAI73" s="49" t="s">
        <v>45</v>
      </c>
      <c r="HAJ73" s="49" t="s">
        <v>42</v>
      </c>
      <c r="HAK73" s="49" t="s">
        <v>0</v>
      </c>
      <c r="HAL73" s="49">
        <v>0</v>
      </c>
      <c r="HAM73" s="49">
        <v>1</v>
      </c>
      <c r="HAN73" s="58">
        <v>2.5</v>
      </c>
      <c r="HAO73" s="58">
        <v>5</v>
      </c>
      <c r="HAP73" s="58">
        <v>4</v>
      </c>
      <c r="HAQ73" s="49">
        <f>INDEX($T$2:$T$11,MATCH(HAM73,$R$2:$R$11,0))</f>
        <v>0.37</v>
      </c>
      <c r="HAR73" s="49">
        <f t="shared" ref="HAR73:HCN73" si="170">HAN73*HAO73*HAP73</f>
        <v>50</v>
      </c>
      <c r="HAS73" s="57">
        <f t="shared" ref="HAS73:HCO73" si="171">HAQ73*HAR73</f>
        <v>18.5</v>
      </c>
      <c r="HAT73" s="59" t="s">
        <v>44</v>
      </c>
      <c r="HAU73" s="49" t="s">
        <v>44</v>
      </c>
      <c r="HAV73" s="51">
        <v>45117</v>
      </c>
      <c r="HAW73" s="49"/>
      <c r="HAX73" s="49" t="s">
        <v>43</v>
      </c>
      <c r="HAY73" s="49" t="s">
        <v>45</v>
      </c>
      <c r="HAZ73" s="49" t="s">
        <v>42</v>
      </c>
      <c r="HBA73" s="49" t="s">
        <v>0</v>
      </c>
      <c r="HBB73" s="49">
        <v>0</v>
      </c>
      <c r="HBC73" s="49">
        <v>1</v>
      </c>
      <c r="HBD73" s="58">
        <v>2.5</v>
      </c>
      <c r="HBE73" s="58">
        <v>5</v>
      </c>
      <c r="HBF73" s="58">
        <v>4</v>
      </c>
      <c r="HBG73" s="49">
        <f>INDEX($T$2:$T$11,MATCH(HBC73,$R$2:$R$11,0))</f>
        <v>0.37</v>
      </c>
      <c r="HBH73" s="49">
        <f t="shared" si="170"/>
        <v>50</v>
      </c>
      <c r="HBI73" s="57">
        <f t="shared" si="171"/>
        <v>18.5</v>
      </c>
      <c r="HBJ73" s="59" t="s">
        <v>44</v>
      </c>
      <c r="HBK73" s="49" t="s">
        <v>44</v>
      </c>
      <c r="HBL73" s="51">
        <v>45117</v>
      </c>
      <c r="HBM73" s="49"/>
      <c r="HBN73" s="49" t="s">
        <v>43</v>
      </c>
      <c r="HBO73" s="49" t="s">
        <v>45</v>
      </c>
      <c r="HBP73" s="49" t="s">
        <v>42</v>
      </c>
      <c r="HBQ73" s="49" t="s">
        <v>0</v>
      </c>
      <c r="HBR73" s="49">
        <v>0</v>
      </c>
      <c r="HBS73" s="49">
        <v>1</v>
      </c>
      <c r="HBT73" s="58">
        <v>2.5</v>
      </c>
      <c r="HBU73" s="58">
        <v>5</v>
      </c>
      <c r="HBV73" s="58">
        <v>4</v>
      </c>
      <c r="HBW73" s="49">
        <f>INDEX($T$2:$T$11,MATCH(HBS73,$R$2:$R$11,0))</f>
        <v>0.37</v>
      </c>
      <c r="HBX73" s="49">
        <f t="shared" si="170"/>
        <v>50</v>
      </c>
      <c r="HBY73" s="57">
        <f t="shared" si="171"/>
        <v>18.5</v>
      </c>
      <c r="HBZ73" s="59" t="s">
        <v>44</v>
      </c>
      <c r="HCA73" s="49" t="s">
        <v>44</v>
      </c>
      <c r="HCB73" s="51">
        <v>45117</v>
      </c>
      <c r="HCC73" s="49"/>
      <c r="HCD73" s="49" t="s">
        <v>43</v>
      </c>
      <c r="HCE73" s="49" t="s">
        <v>45</v>
      </c>
      <c r="HCF73" s="49" t="s">
        <v>42</v>
      </c>
      <c r="HCG73" s="49" t="s">
        <v>0</v>
      </c>
      <c r="HCH73" s="49">
        <v>0</v>
      </c>
      <c r="HCI73" s="49">
        <v>1</v>
      </c>
      <c r="HCJ73" s="58">
        <v>2.5</v>
      </c>
      <c r="HCK73" s="58">
        <v>5</v>
      </c>
      <c r="HCL73" s="58">
        <v>4</v>
      </c>
      <c r="HCM73" s="49">
        <f>INDEX($T$2:$T$11,MATCH(HCI73,$R$2:$R$11,0))</f>
        <v>0.37</v>
      </c>
      <c r="HCN73" s="49">
        <f t="shared" si="170"/>
        <v>50</v>
      </c>
      <c r="HCO73" s="57">
        <f t="shared" si="171"/>
        <v>18.5</v>
      </c>
      <c r="HCP73" s="59" t="s">
        <v>44</v>
      </c>
      <c r="HCQ73" s="49" t="s">
        <v>44</v>
      </c>
      <c r="HCR73" s="51">
        <v>45117</v>
      </c>
      <c r="HCS73" s="49"/>
      <c r="HCT73" s="49" t="s">
        <v>43</v>
      </c>
      <c r="HCU73" s="49" t="s">
        <v>45</v>
      </c>
      <c r="HCV73" s="49" t="s">
        <v>42</v>
      </c>
      <c r="HCW73" s="49" t="s">
        <v>0</v>
      </c>
      <c r="HCX73" s="49">
        <v>0</v>
      </c>
      <c r="HCY73" s="49">
        <v>1</v>
      </c>
      <c r="HCZ73" s="58">
        <v>2.5</v>
      </c>
      <c r="HDA73" s="58">
        <v>5</v>
      </c>
      <c r="HDB73" s="58">
        <v>4</v>
      </c>
      <c r="HDC73" s="49">
        <f>INDEX($T$2:$T$11,MATCH(HCY73,$R$2:$R$11,0))</f>
        <v>0.37</v>
      </c>
      <c r="HDD73" s="49">
        <f t="shared" ref="HDD73:HEZ73" si="172">HCZ73*HDA73*HDB73</f>
        <v>50</v>
      </c>
      <c r="HDE73" s="57">
        <f t="shared" ref="HDE73:HFA73" si="173">HDC73*HDD73</f>
        <v>18.5</v>
      </c>
      <c r="HDF73" s="59" t="s">
        <v>44</v>
      </c>
      <c r="HDG73" s="49" t="s">
        <v>44</v>
      </c>
      <c r="HDH73" s="51">
        <v>45117</v>
      </c>
      <c r="HDI73" s="49"/>
      <c r="HDJ73" s="49" t="s">
        <v>43</v>
      </c>
      <c r="HDK73" s="49" t="s">
        <v>45</v>
      </c>
      <c r="HDL73" s="49" t="s">
        <v>42</v>
      </c>
      <c r="HDM73" s="49" t="s">
        <v>0</v>
      </c>
      <c r="HDN73" s="49">
        <v>0</v>
      </c>
      <c r="HDO73" s="49">
        <v>1</v>
      </c>
      <c r="HDP73" s="58">
        <v>2.5</v>
      </c>
      <c r="HDQ73" s="58">
        <v>5</v>
      </c>
      <c r="HDR73" s="58">
        <v>4</v>
      </c>
      <c r="HDS73" s="49">
        <f>INDEX($T$2:$T$11,MATCH(HDO73,$R$2:$R$11,0))</f>
        <v>0.37</v>
      </c>
      <c r="HDT73" s="49">
        <f t="shared" si="172"/>
        <v>50</v>
      </c>
      <c r="HDU73" s="57">
        <f t="shared" si="173"/>
        <v>18.5</v>
      </c>
      <c r="HDV73" s="59" t="s">
        <v>44</v>
      </c>
      <c r="HDW73" s="49" t="s">
        <v>44</v>
      </c>
      <c r="HDX73" s="51">
        <v>45117</v>
      </c>
      <c r="HDY73" s="49"/>
      <c r="HDZ73" s="49" t="s">
        <v>43</v>
      </c>
      <c r="HEA73" s="49" t="s">
        <v>45</v>
      </c>
      <c r="HEB73" s="49" t="s">
        <v>42</v>
      </c>
      <c r="HEC73" s="49" t="s">
        <v>0</v>
      </c>
      <c r="HED73" s="49">
        <v>0</v>
      </c>
      <c r="HEE73" s="49">
        <v>1</v>
      </c>
      <c r="HEF73" s="58">
        <v>2.5</v>
      </c>
      <c r="HEG73" s="58">
        <v>5</v>
      </c>
      <c r="HEH73" s="58">
        <v>4</v>
      </c>
      <c r="HEI73" s="49">
        <f>INDEX($T$2:$T$11,MATCH(HEE73,$R$2:$R$11,0))</f>
        <v>0.37</v>
      </c>
      <c r="HEJ73" s="49">
        <f t="shared" si="172"/>
        <v>50</v>
      </c>
      <c r="HEK73" s="57">
        <f t="shared" si="173"/>
        <v>18.5</v>
      </c>
      <c r="HEL73" s="59" t="s">
        <v>44</v>
      </c>
      <c r="HEM73" s="49" t="s">
        <v>44</v>
      </c>
      <c r="HEN73" s="51">
        <v>45117</v>
      </c>
      <c r="HEO73" s="49"/>
      <c r="HEP73" s="49" t="s">
        <v>43</v>
      </c>
      <c r="HEQ73" s="49" t="s">
        <v>45</v>
      </c>
      <c r="HER73" s="49" t="s">
        <v>42</v>
      </c>
      <c r="HES73" s="49" t="s">
        <v>0</v>
      </c>
      <c r="HET73" s="49">
        <v>0</v>
      </c>
      <c r="HEU73" s="49">
        <v>1</v>
      </c>
      <c r="HEV73" s="58">
        <v>2.5</v>
      </c>
      <c r="HEW73" s="58">
        <v>5</v>
      </c>
      <c r="HEX73" s="58">
        <v>4</v>
      </c>
      <c r="HEY73" s="49">
        <f>INDEX($T$2:$T$11,MATCH(HEU73,$R$2:$R$11,0))</f>
        <v>0.37</v>
      </c>
      <c r="HEZ73" s="49">
        <f t="shared" si="172"/>
        <v>50</v>
      </c>
      <c r="HFA73" s="57">
        <f t="shared" si="173"/>
        <v>18.5</v>
      </c>
      <c r="HFB73" s="59" t="s">
        <v>44</v>
      </c>
      <c r="HFC73" s="49" t="s">
        <v>44</v>
      </c>
      <c r="HFD73" s="51">
        <v>45117</v>
      </c>
      <c r="HFE73" s="49"/>
      <c r="HFF73" s="49" t="s">
        <v>43</v>
      </c>
      <c r="HFG73" s="49" t="s">
        <v>45</v>
      </c>
      <c r="HFH73" s="49" t="s">
        <v>42</v>
      </c>
      <c r="HFI73" s="49" t="s">
        <v>0</v>
      </c>
      <c r="HFJ73" s="49">
        <v>0</v>
      </c>
      <c r="HFK73" s="49">
        <v>1</v>
      </c>
      <c r="HFL73" s="58">
        <v>2.5</v>
      </c>
      <c r="HFM73" s="58">
        <v>5</v>
      </c>
      <c r="HFN73" s="58">
        <v>4</v>
      </c>
      <c r="HFO73" s="49">
        <f>INDEX($T$2:$T$11,MATCH(HFK73,$R$2:$R$11,0))</f>
        <v>0.37</v>
      </c>
      <c r="HFP73" s="49">
        <f t="shared" ref="HFP73:HHL73" si="174">HFL73*HFM73*HFN73</f>
        <v>50</v>
      </c>
      <c r="HFQ73" s="57">
        <f t="shared" ref="HFQ73:HHM73" si="175">HFO73*HFP73</f>
        <v>18.5</v>
      </c>
      <c r="HFR73" s="59" t="s">
        <v>44</v>
      </c>
      <c r="HFS73" s="49" t="s">
        <v>44</v>
      </c>
      <c r="HFT73" s="51">
        <v>45117</v>
      </c>
      <c r="HFU73" s="49"/>
      <c r="HFV73" s="49" t="s">
        <v>43</v>
      </c>
      <c r="HFW73" s="49" t="s">
        <v>45</v>
      </c>
      <c r="HFX73" s="49" t="s">
        <v>42</v>
      </c>
      <c r="HFY73" s="49" t="s">
        <v>0</v>
      </c>
      <c r="HFZ73" s="49">
        <v>0</v>
      </c>
      <c r="HGA73" s="49">
        <v>1</v>
      </c>
      <c r="HGB73" s="58">
        <v>2.5</v>
      </c>
      <c r="HGC73" s="58">
        <v>5</v>
      </c>
      <c r="HGD73" s="58">
        <v>4</v>
      </c>
      <c r="HGE73" s="49">
        <f>INDEX($T$2:$T$11,MATCH(HGA73,$R$2:$R$11,0))</f>
        <v>0.37</v>
      </c>
      <c r="HGF73" s="49">
        <f t="shared" si="174"/>
        <v>50</v>
      </c>
      <c r="HGG73" s="57">
        <f t="shared" si="175"/>
        <v>18.5</v>
      </c>
      <c r="HGH73" s="59" t="s">
        <v>44</v>
      </c>
      <c r="HGI73" s="49" t="s">
        <v>44</v>
      </c>
      <c r="HGJ73" s="51">
        <v>45117</v>
      </c>
      <c r="HGK73" s="49"/>
      <c r="HGL73" s="49" t="s">
        <v>43</v>
      </c>
      <c r="HGM73" s="49" t="s">
        <v>45</v>
      </c>
      <c r="HGN73" s="49" t="s">
        <v>42</v>
      </c>
      <c r="HGO73" s="49" t="s">
        <v>0</v>
      </c>
      <c r="HGP73" s="49">
        <v>0</v>
      </c>
      <c r="HGQ73" s="49">
        <v>1</v>
      </c>
      <c r="HGR73" s="58">
        <v>2.5</v>
      </c>
      <c r="HGS73" s="58">
        <v>5</v>
      </c>
      <c r="HGT73" s="58">
        <v>4</v>
      </c>
      <c r="HGU73" s="49">
        <f>INDEX($T$2:$T$11,MATCH(HGQ73,$R$2:$R$11,0))</f>
        <v>0.37</v>
      </c>
      <c r="HGV73" s="49">
        <f t="shared" si="174"/>
        <v>50</v>
      </c>
      <c r="HGW73" s="57">
        <f t="shared" si="175"/>
        <v>18.5</v>
      </c>
      <c r="HGX73" s="59" t="s">
        <v>44</v>
      </c>
      <c r="HGY73" s="49" t="s">
        <v>44</v>
      </c>
      <c r="HGZ73" s="51">
        <v>45117</v>
      </c>
      <c r="HHA73" s="49"/>
      <c r="HHB73" s="49" t="s">
        <v>43</v>
      </c>
      <c r="HHC73" s="49" t="s">
        <v>45</v>
      </c>
      <c r="HHD73" s="49" t="s">
        <v>42</v>
      </c>
      <c r="HHE73" s="49" t="s">
        <v>0</v>
      </c>
      <c r="HHF73" s="49">
        <v>0</v>
      </c>
      <c r="HHG73" s="49">
        <v>1</v>
      </c>
      <c r="HHH73" s="58">
        <v>2.5</v>
      </c>
      <c r="HHI73" s="58">
        <v>5</v>
      </c>
      <c r="HHJ73" s="58">
        <v>4</v>
      </c>
      <c r="HHK73" s="49">
        <f>INDEX($T$2:$T$11,MATCH(HHG73,$R$2:$R$11,0))</f>
        <v>0.37</v>
      </c>
      <c r="HHL73" s="49">
        <f t="shared" si="174"/>
        <v>50</v>
      </c>
      <c r="HHM73" s="57">
        <f t="shared" si="175"/>
        <v>18.5</v>
      </c>
      <c r="HHN73" s="59" t="s">
        <v>44</v>
      </c>
      <c r="HHO73" s="49" t="s">
        <v>44</v>
      </c>
      <c r="HHP73" s="51">
        <v>45117</v>
      </c>
      <c r="HHQ73" s="49"/>
      <c r="HHR73" s="49" t="s">
        <v>43</v>
      </c>
      <c r="HHS73" s="49" t="s">
        <v>45</v>
      </c>
      <c r="HHT73" s="49" t="s">
        <v>42</v>
      </c>
      <c r="HHU73" s="49" t="s">
        <v>0</v>
      </c>
      <c r="HHV73" s="49">
        <v>0</v>
      </c>
      <c r="HHW73" s="49">
        <v>1</v>
      </c>
      <c r="HHX73" s="58">
        <v>2.5</v>
      </c>
      <c r="HHY73" s="58">
        <v>5</v>
      </c>
      <c r="HHZ73" s="58">
        <v>4</v>
      </c>
      <c r="HIA73" s="49">
        <f>INDEX($T$2:$T$11,MATCH(HHW73,$R$2:$R$11,0))</f>
        <v>0.37</v>
      </c>
      <c r="HIB73" s="49">
        <f t="shared" ref="HIB73:HJX73" si="176">HHX73*HHY73*HHZ73</f>
        <v>50</v>
      </c>
      <c r="HIC73" s="57">
        <f t="shared" ref="HIC73:HJY73" si="177">HIA73*HIB73</f>
        <v>18.5</v>
      </c>
      <c r="HID73" s="59" t="s">
        <v>44</v>
      </c>
      <c r="HIE73" s="49" t="s">
        <v>44</v>
      </c>
      <c r="HIF73" s="51">
        <v>45117</v>
      </c>
      <c r="HIG73" s="49"/>
      <c r="HIH73" s="49" t="s">
        <v>43</v>
      </c>
      <c r="HII73" s="49" t="s">
        <v>45</v>
      </c>
      <c r="HIJ73" s="49" t="s">
        <v>42</v>
      </c>
      <c r="HIK73" s="49" t="s">
        <v>0</v>
      </c>
      <c r="HIL73" s="49">
        <v>0</v>
      </c>
      <c r="HIM73" s="49">
        <v>1</v>
      </c>
      <c r="HIN73" s="58">
        <v>2.5</v>
      </c>
      <c r="HIO73" s="58">
        <v>5</v>
      </c>
      <c r="HIP73" s="58">
        <v>4</v>
      </c>
      <c r="HIQ73" s="49">
        <f>INDEX($T$2:$T$11,MATCH(HIM73,$R$2:$R$11,0))</f>
        <v>0.37</v>
      </c>
      <c r="HIR73" s="49">
        <f t="shared" si="176"/>
        <v>50</v>
      </c>
      <c r="HIS73" s="57">
        <f t="shared" si="177"/>
        <v>18.5</v>
      </c>
      <c r="HIT73" s="59" t="s">
        <v>44</v>
      </c>
      <c r="HIU73" s="49" t="s">
        <v>44</v>
      </c>
      <c r="HIV73" s="51">
        <v>45117</v>
      </c>
      <c r="HIW73" s="49"/>
      <c r="HIX73" s="49" t="s">
        <v>43</v>
      </c>
      <c r="HIY73" s="49" t="s">
        <v>45</v>
      </c>
      <c r="HIZ73" s="49" t="s">
        <v>42</v>
      </c>
      <c r="HJA73" s="49" t="s">
        <v>0</v>
      </c>
      <c r="HJB73" s="49">
        <v>0</v>
      </c>
      <c r="HJC73" s="49">
        <v>1</v>
      </c>
      <c r="HJD73" s="58">
        <v>2.5</v>
      </c>
      <c r="HJE73" s="58">
        <v>5</v>
      </c>
      <c r="HJF73" s="58">
        <v>4</v>
      </c>
      <c r="HJG73" s="49">
        <f>INDEX($T$2:$T$11,MATCH(HJC73,$R$2:$R$11,0))</f>
        <v>0.37</v>
      </c>
      <c r="HJH73" s="49">
        <f t="shared" si="176"/>
        <v>50</v>
      </c>
      <c r="HJI73" s="57">
        <f t="shared" si="177"/>
        <v>18.5</v>
      </c>
      <c r="HJJ73" s="59" t="s">
        <v>44</v>
      </c>
      <c r="HJK73" s="49" t="s">
        <v>44</v>
      </c>
      <c r="HJL73" s="51">
        <v>45117</v>
      </c>
      <c r="HJM73" s="49"/>
      <c r="HJN73" s="49" t="s">
        <v>43</v>
      </c>
      <c r="HJO73" s="49" t="s">
        <v>45</v>
      </c>
      <c r="HJP73" s="49" t="s">
        <v>42</v>
      </c>
      <c r="HJQ73" s="49" t="s">
        <v>0</v>
      </c>
      <c r="HJR73" s="49">
        <v>0</v>
      </c>
      <c r="HJS73" s="49">
        <v>1</v>
      </c>
      <c r="HJT73" s="58">
        <v>2.5</v>
      </c>
      <c r="HJU73" s="58">
        <v>5</v>
      </c>
      <c r="HJV73" s="58">
        <v>4</v>
      </c>
      <c r="HJW73" s="49">
        <f>INDEX($T$2:$T$11,MATCH(HJS73,$R$2:$R$11,0))</f>
        <v>0.37</v>
      </c>
      <c r="HJX73" s="49">
        <f t="shared" si="176"/>
        <v>50</v>
      </c>
      <c r="HJY73" s="57">
        <f t="shared" si="177"/>
        <v>18.5</v>
      </c>
      <c r="HJZ73" s="59" t="s">
        <v>44</v>
      </c>
      <c r="HKA73" s="49" t="s">
        <v>44</v>
      </c>
      <c r="HKB73" s="51">
        <v>45117</v>
      </c>
      <c r="HKC73" s="49"/>
      <c r="HKD73" s="49" t="s">
        <v>43</v>
      </c>
      <c r="HKE73" s="49" t="s">
        <v>45</v>
      </c>
      <c r="HKF73" s="49" t="s">
        <v>42</v>
      </c>
      <c r="HKG73" s="49" t="s">
        <v>0</v>
      </c>
      <c r="HKH73" s="49">
        <v>0</v>
      </c>
      <c r="HKI73" s="49">
        <v>1</v>
      </c>
      <c r="HKJ73" s="58">
        <v>2.5</v>
      </c>
      <c r="HKK73" s="58">
        <v>5</v>
      </c>
      <c r="HKL73" s="58">
        <v>4</v>
      </c>
      <c r="HKM73" s="49">
        <f>INDEX($T$2:$T$11,MATCH(HKI73,$R$2:$R$11,0))</f>
        <v>0.37</v>
      </c>
      <c r="HKN73" s="49">
        <f t="shared" ref="HKN73:HMJ73" si="178">HKJ73*HKK73*HKL73</f>
        <v>50</v>
      </c>
      <c r="HKO73" s="57">
        <f t="shared" ref="HKO73:HMK73" si="179">HKM73*HKN73</f>
        <v>18.5</v>
      </c>
      <c r="HKP73" s="59" t="s">
        <v>44</v>
      </c>
      <c r="HKQ73" s="49" t="s">
        <v>44</v>
      </c>
      <c r="HKR73" s="51">
        <v>45117</v>
      </c>
      <c r="HKS73" s="49"/>
      <c r="HKT73" s="49" t="s">
        <v>43</v>
      </c>
      <c r="HKU73" s="49" t="s">
        <v>45</v>
      </c>
      <c r="HKV73" s="49" t="s">
        <v>42</v>
      </c>
      <c r="HKW73" s="49" t="s">
        <v>0</v>
      </c>
      <c r="HKX73" s="49">
        <v>0</v>
      </c>
      <c r="HKY73" s="49">
        <v>1</v>
      </c>
      <c r="HKZ73" s="58">
        <v>2.5</v>
      </c>
      <c r="HLA73" s="58">
        <v>5</v>
      </c>
      <c r="HLB73" s="58">
        <v>4</v>
      </c>
      <c r="HLC73" s="49">
        <f>INDEX($T$2:$T$11,MATCH(HKY73,$R$2:$R$11,0))</f>
        <v>0.37</v>
      </c>
      <c r="HLD73" s="49">
        <f t="shared" si="178"/>
        <v>50</v>
      </c>
      <c r="HLE73" s="57">
        <f t="shared" si="179"/>
        <v>18.5</v>
      </c>
      <c r="HLF73" s="59" t="s">
        <v>44</v>
      </c>
      <c r="HLG73" s="49" t="s">
        <v>44</v>
      </c>
      <c r="HLH73" s="51">
        <v>45117</v>
      </c>
      <c r="HLI73" s="49"/>
      <c r="HLJ73" s="49" t="s">
        <v>43</v>
      </c>
      <c r="HLK73" s="49" t="s">
        <v>45</v>
      </c>
      <c r="HLL73" s="49" t="s">
        <v>42</v>
      </c>
      <c r="HLM73" s="49" t="s">
        <v>0</v>
      </c>
      <c r="HLN73" s="49">
        <v>0</v>
      </c>
      <c r="HLO73" s="49">
        <v>1</v>
      </c>
      <c r="HLP73" s="58">
        <v>2.5</v>
      </c>
      <c r="HLQ73" s="58">
        <v>5</v>
      </c>
      <c r="HLR73" s="58">
        <v>4</v>
      </c>
      <c r="HLS73" s="49">
        <f>INDEX($T$2:$T$11,MATCH(HLO73,$R$2:$R$11,0))</f>
        <v>0.37</v>
      </c>
      <c r="HLT73" s="49">
        <f t="shared" si="178"/>
        <v>50</v>
      </c>
      <c r="HLU73" s="57">
        <f t="shared" si="179"/>
        <v>18.5</v>
      </c>
      <c r="HLV73" s="59" t="s">
        <v>44</v>
      </c>
      <c r="HLW73" s="49" t="s">
        <v>44</v>
      </c>
      <c r="HLX73" s="51">
        <v>45117</v>
      </c>
      <c r="HLY73" s="49"/>
      <c r="HLZ73" s="49" t="s">
        <v>43</v>
      </c>
      <c r="HMA73" s="49" t="s">
        <v>45</v>
      </c>
      <c r="HMB73" s="49" t="s">
        <v>42</v>
      </c>
      <c r="HMC73" s="49" t="s">
        <v>0</v>
      </c>
      <c r="HMD73" s="49">
        <v>0</v>
      </c>
      <c r="HME73" s="49">
        <v>1</v>
      </c>
      <c r="HMF73" s="58">
        <v>2.5</v>
      </c>
      <c r="HMG73" s="58">
        <v>5</v>
      </c>
      <c r="HMH73" s="58">
        <v>4</v>
      </c>
      <c r="HMI73" s="49">
        <f>INDEX($T$2:$T$11,MATCH(HME73,$R$2:$R$11,0))</f>
        <v>0.37</v>
      </c>
      <c r="HMJ73" s="49">
        <f t="shared" si="178"/>
        <v>50</v>
      </c>
      <c r="HMK73" s="57">
        <f t="shared" si="179"/>
        <v>18.5</v>
      </c>
      <c r="HML73" s="59" t="s">
        <v>44</v>
      </c>
      <c r="HMM73" s="49" t="s">
        <v>44</v>
      </c>
      <c r="HMN73" s="51">
        <v>45117</v>
      </c>
      <c r="HMO73" s="49"/>
      <c r="HMP73" s="49" t="s">
        <v>43</v>
      </c>
      <c r="HMQ73" s="49" t="s">
        <v>45</v>
      </c>
      <c r="HMR73" s="49" t="s">
        <v>42</v>
      </c>
      <c r="HMS73" s="49" t="s">
        <v>0</v>
      </c>
      <c r="HMT73" s="49">
        <v>0</v>
      </c>
      <c r="HMU73" s="49">
        <v>1</v>
      </c>
      <c r="HMV73" s="58">
        <v>2.5</v>
      </c>
      <c r="HMW73" s="58">
        <v>5</v>
      </c>
      <c r="HMX73" s="58">
        <v>4</v>
      </c>
      <c r="HMY73" s="49">
        <f>INDEX($T$2:$T$11,MATCH(HMU73,$R$2:$R$11,0))</f>
        <v>0.37</v>
      </c>
      <c r="HMZ73" s="49">
        <f t="shared" ref="HMZ73:HOV73" si="180">HMV73*HMW73*HMX73</f>
        <v>50</v>
      </c>
      <c r="HNA73" s="57">
        <f t="shared" ref="HNA73:HOW73" si="181">HMY73*HMZ73</f>
        <v>18.5</v>
      </c>
      <c r="HNB73" s="59" t="s">
        <v>44</v>
      </c>
      <c r="HNC73" s="49" t="s">
        <v>44</v>
      </c>
      <c r="HND73" s="51">
        <v>45117</v>
      </c>
      <c r="HNE73" s="49"/>
      <c r="HNF73" s="49" t="s">
        <v>43</v>
      </c>
      <c r="HNG73" s="49" t="s">
        <v>45</v>
      </c>
      <c r="HNH73" s="49" t="s">
        <v>42</v>
      </c>
      <c r="HNI73" s="49" t="s">
        <v>0</v>
      </c>
      <c r="HNJ73" s="49">
        <v>0</v>
      </c>
      <c r="HNK73" s="49">
        <v>1</v>
      </c>
      <c r="HNL73" s="58">
        <v>2.5</v>
      </c>
      <c r="HNM73" s="58">
        <v>5</v>
      </c>
      <c r="HNN73" s="58">
        <v>4</v>
      </c>
      <c r="HNO73" s="49">
        <f>INDEX($T$2:$T$11,MATCH(HNK73,$R$2:$R$11,0))</f>
        <v>0.37</v>
      </c>
      <c r="HNP73" s="49">
        <f t="shared" si="180"/>
        <v>50</v>
      </c>
      <c r="HNQ73" s="57">
        <f t="shared" si="181"/>
        <v>18.5</v>
      </c>
      <c r="HNR73" s="59" t="s">
        <v>44</v>
      </c>
      <c r="HNS73" s="49" t="s">
        <v>44</v>
      </c>
      <c r="HNT73" s="51">
        <v>45117</v>
      </c>
      <c r="HNU73" s="49"/>
      <c r="HNV73" s="49" t="s">
        <v>43</v>
      </c>
      <c r="HNW73" s="49" t="s">
        <v>45</v>
      </c>
      <c r="HNX73" s="49" t="s">
        <v>42</v>
      </c>
      <c r="HNY73" s="49" t="s">
        <v>0</v>
      </c>
      <c r="HNZ73" s="49">
        <v>0</v>
      </c>
      <c r="HOA73" s="49">
        <v>1</v>
      </c>
      <c r="HOB73" s="58">
        <v>2.5</v>
      </c>
      <c r="HOC73" s="58">
        <v>5</v>
      </c>
      <c r="HOD73" s="58">
        <v>4</v>
      </c>
      <c r="HOE73" s="49">
        <f>INDEX($T$2:$T$11,MATCH(HOA73,$R$2:$R$11,0))</f>
        <v>0.37</v>
      </c>
      <c r="HOF73" s="49">
        <f t="shared" si="180"/>
        <v>50</v>
      </c>
      <c r="HOG73" s="57">
        <f t="shared" si="181"/>
        <v>18.5</v>
      </c>
      <c r="HOH73" s="59" t="s">
        <v>44</v>
      </c>
      <c r="HOI73" s="49" t="s">
        <v>44</v>
      </c>
      <c r="HOJ73" s="51">
        <v>45117</v>
      </c>
      <c r="HOK73" s="49"/>
      <c r="HOL73" s="49" t="s">
        <v>43</v>
      </c>
      <c r="HOM73" s="49" t="s">
        <v>45</v>
      </c>
      <c r="HON73" s="49" t="s">
        <v>42</v>
      </c>
      <c r="HOO73" s="49" t="s">
        <v>0</v>
      </c>
      <c r="HOP73" s="49">
        <v>0</v>
      </c>
      <c r="HOQ73" s="49">
        <v>1</v>
      </c>
      <c r="HOR73" s="58">
        <v>2.5</v>
      </c>
      <c r="HOS73" s="58">
        <v>5</v>
      </c>
      <c r="HOT73" s="58">
        <v>4</v>
      </c>
      <c r="HOU73" s="49">
        <f>INDEX($T$2:$T$11,MATCH(HOQ73,$R$2:$R$11,0))</f>
        <v>0.37</v>
      </c>
      <c r="HOV73" s="49">
        <f t="shared" si="180"/>
        <v>50</v>
      </c>
      <c r="HOW73" s="57">
        <f t="shared" si="181"/>
        <v>18.5</v>
      </c>
      <c r="HOX73" s="59" t="s">
        <v>44</v>
      </c>
      <c r="HOY73" s="49" t="s">
        <v>44</v>
      </c>
      <c r="HOZ73" s="51">
        <v>45117</v>
      </c>
      <c r="HPA73" s="49"/>
      <c r="HPB73" s="49" t="s">
        <v>43</v>
      </c>
      <c r="HPC73" s="49" t="s">
        <v>45</v>
      </c>
      <c r="HPD73" s="49" t="s">
        <v>42</v>
      </c>
      <c r="HPE73" s="49" t="s">
        <v>0</v>
      </c>
      <c r="HPF73" s="49">
        <v>0</v>
      </c>
      <c r="HPG73" s="49">
        <v>1</v>
      </c>
      <c r="HPH73" s="58">
        <v>2.5</v>
      </c>
      <c r="HPI73" s="58">
        <v>5</v>
      </c>
      <c r="HPJ73" s="58">
        <v>4</v>
      </c>
      <c r="HPK73" s="49">
        <f>INDEX($T$2:$T$11,MATCH(HPG73,$R$2:$R$11,0))</f>
        <v>0.37</v>
      </c>
      <c r="HPL73" s="49">
        <f t="shared" ref="HPL73:HRH73" si="182">HPH73*HPI73*HPJ73</f>
        <v>50</v>
      </c>
      <c r="HPM73" s="57">
        <f t="shared" ref="HPM73:HRI73" si="183">HPK73*HPL73</f>
        <v>18.5</v>
      </c>
      <c r="HPN73" s="59" t="s">
        <v>44</v>
      </c>
      <c r="HPO73" s="49" t="s">
        <v>44</v>
      </c>
      <c r="HPP73" s="51">
        <v>45117</v>
      </c>
      <c r="HPQ73" s="49"/>
      <c r="HPR73" s="49" t="s">
        <v>43</v>
      </c>
      <c r="HPS73" s="49" t="s">
        <v>45</v>
      </c>
      <c r="HPT73" s="49" t="s">
        <v>42</v>
      </c>
      <c r="HPU73" s="49" t="s">
        <v>0</v>
      </c>
      <c r="HPV73" s="49">
        <v>0</v>
      </c>
      <c r="HPW73" s="49">
        <v>1</v>
      </c>
      <c r="HPX73" s="58">
        <v>2.5</v>
      </c>
      <c r="HPY73" s="58">
        <v>5</v>
      </c>
      <c r="HPZ73" s="58">
        <v>4</v>
      </c>
      <c r="HQA73" s="49">
        <f>INDEX($T$2:$T$11,MATCH(HPW73,$R$2:$R$11,0))</f>
        <v>0.37</v>
      </c>
      <c r="HQB73" s="49">
        <f t="shared" si="182"/>
        <v>50</v>
      </c>
      <c r="HQC73" s="57">
        <f t="shared" si="183"/>
        <v>18.5</v>
      </c>
      <c r="HQD73" s="59" t="s">
        <v>44</v>
      </c>
      <c r="HQE73" s="49" t="s">
        <v>44</v>
      </c>
      <c r="HQF73" s="51">
        <v>45117</v>
      </c>
      <c r="HQG73" s="49"/>
      <c r="HQH73" s="49" t="s">
        <v>43</v>
      </c>
      <c r="HQI73" s="49" t="s">
        <v>45</v>
      </c>
      <c r="HQJ73" s="49" t="s">
        <v>42</v>
      </c>
      <c r="HQK73" s="49" t="s">
        <v>0</v>
      </c>
      <c r="HQL73" s="49">
        <v>0</v>
      </c>
      <c r="HQM73" s="49">
        <v>1</v>
      </c>
      <c r="HQN73" s="58">
        <v>2.5</v>
      </c>
      <c r="HQO73" s="58">
        <v>5</v>
      </c>
      <c r="HQP73" s="58">
        <v>4</v>
      </c>
      <c r="HQQ73" s="49">
        <f>INDEX($T$2:$T$11,MATCH(HQM73,$R$2:$R$11,0))</f>
        <v>0.37</v>
      </c>
      <c r="HQR73" s="49">
        <f t="shared" si="182"/>
        <v>50</v>
      </c>
      <c r="HQS73" s="57">
        <f t="shared" si="183"/>
        <v>18.5</v>
      </c>
      <c r="HQT73" s="59" t="s">
        <v>44</v>
      </c>
      <c r="HQU73" s="49" t="s">
        <v>44</v>
      </c>
      <c r="HQV73" s="51">
        <v>45117</v>
      </c>
      <c r="HQW73" s="49"/>
      <c r="HQX73" s="49" t="s">
        <v>43</v>
      </c>
      <c r="HQY73" s="49" t="s">
        <v>45</v>
      </c>
      <c r="HQZ73" s="49" t="s">
        <v>42</v>
      </c>
      <c r="HRA73" s="49" t="s">
        <v>0</v>
      </c>
      <c r="HRB73" s="49">
        <v>0</v>
      </c>
      <c r="HRC73" s="49">
        <v>1</v>
      </c>
      <c r="HRD73" s="58">
        <v>2.5</v>
      </c>
      <c r="HRE73" s="58">
        <v>5</v>
      </c>
      <c r="HRF73" s="58">
        <v>4</v>
      </c>
      <c r="HRG73" s="49">
        <f>INDEX($T$2:$T$11,MATCH(HRC73,$R$2:$R$11,0))</f>
        <v>0.37</v>
      </c>
      <c r="HRH73" s="49">
        <f t="shared" si="182"/>
        <v>50</v>
      </c>
      <c r="HRI73" s="57">
        <f t="shared" si="183"/>
        <v>18.5</v>
      </c>
      <c r="HRJ73" s="59" t="s">
        <v>44</v>
      </c>
      <c r="HRK73" s="49" t="s">
        <v>44</v>
      </c>
      <c r="HRL73" s="51">
        <v>45117</v>
      </c>
      <c r="HRM73" s="49"/>
      <c r="HRN73" s="49" t="s">
        <v>43</v>
      </c>
      <c r="HRO73" s="49" t="s">
        <v>45</v>
      </c>
      <c r="HRP73" s="49" t="s">
        <v>42</v>
      </c>
      <c r="HRQ73" s="49" t="s">
        <v>0</v>
      </c>
      <c r="HRR73" s="49">
        <v>0</v>
      </c>
      <c r="HRS73" s="49">
        <v>1</v>
      </c>
      <c r="HRT73" s="58">
        <v>2.5</v>
      </c>
      <c r="HRU73" s="58">
        <v>5</v>
      </c>
      <c r="HRV73" s="58">
        <v>4</v>
      </c>
      <c r="HRW73" s="49">
        <f>INDEX($T$2:$T$11,MATCH(HRS73,$R$2:$R$11,0))</f>
        <v>0.37</v>
      </c>
      <c r="HRX73" s="49">
        <f t="shared" ref="HRX73:HTT73" si="184">HRT73*HRU73*HRV73</f>
        <v>50</v>
      </c>
      <c r="HRY73" s="57">
        <f t="shared" ref="HRY73:HTU73" si="185">HRW73*HRX73</f>
        <v>18.5</v>
      </c>
      <c r="HRZ73" s="59" t="s">
        <v>44</v>
      </c>
      <c r="HSA73" s="49" t="s">
        <v>44</v>
      </c>
      <c r="HSB73" s="51">
        <v>45117</v>
      </c>
      <c r="HSC73" s="49"/>
      <c r="HSD73" s="49" t="s">
        <v>43</v>
      </c>
      <c r="HSE73" s="49" t="s">
        <v>45</v>
      </c>
      <c r="HSF73" s="49" t="s">
        <v>42</v>
      </c>
      <c r="HSG73" s="49" t="s">
        <v>0</v>
      </c>
      <c r="HSH73" s="49">
        <v>0</v>
      </c>
      <c r="HSI73" s="49">
        <v>1</v>
      </c>
      <c r="HSJ73" s="58">
        <v>2.5</v>
      </c>
      <c r="HSK73" s="58">
        <v>5</v>
      </c>
      <c r="HSL73" s="58">
        <v>4</v>
      </c>
      <c r="HSM73" s="49">
        <f>INDEX($T$2:$T$11,MATCH(HSI73,$R$2:$R$11,0))</f>
        <v>0.37</v>
      </c>
      <c r="HSN73" s="49">
        <f t="shared" si="184"/>
        <v>50</v>
      </c>
      <c r="HSO73" s="57">
        <f t="shared" si="185"/>
        <v>18.5</v>
      </c>
      <c r="HSP73" s="59" t="s">
        <v>44</v>
      </c>
      <c r="HSQ73" s="49" t="s">
        <v>44</v>
      </c>
      <c r="HSR73" s="51">
        <v>45117</v>
      </c>
      <c r="HSS73" s="49"/>
      <c r="HST73" s="49" t="s">
        <v>43</v>
      </c>
      <c r="HSU73" s="49" t="s">
        <v>45</v>
      </c>
      <c r="HSV73" s="49" t="s">
        <v>42</v>
      </c>
      <c r="HSW73" s="49" t="s">
        <v>0</v>
      </c>
      <c r="HSX73" s="49">
        <v>0</v>
      </c>
      <c r="HSY73" s="49">
        <v>1</v>
      </c>
      <c r="HSZ73" s="58">
        <v>2.5</v>
      </c>
      <c r="HTA73" s="58">
        <v>5</v>
      </c>
      <c r="HTB73" s="58">
        <v>4</v>
      </c>
      <c r="HTC73" s="49">
        <f>INDEX($T$2:$T$11,MATCH(HSY73,$R$2:$R$11,0))</f>
        <v>0.37</v>
      </c>
      <c r="HTD73" s="49">
        <f t="shared" si="184"/>
        <v>50</v>
      </c>
      <c r="HTE73" s="57">
        <f t="shared" si="185"/>
        <v>18.5</v>
      </c>
      <c r="HTF73" s="59" t="s">
        <v>44</v>
      </c>
      <c r="HTG73" s="49" t="s">
        <v>44</v>
      </c>
      <c r="HTH73" s="51">
        <v>45117</v>
      </c>
      <c r="HTI73" s="49"/>
      <c r="HTJ73" s="49" t="s">
        <v>43</v>
      </c>
      <c r="HTK73" s="49" t="s">
        <v>45</v>
      </c>
      <c r="HTL73" s="49" t="s">
        <v>42</v>
      </c>
      <c r="HTM73" s="49" t="s">
        <v>0</v>
      </c>
      <c r="HTN73" s="49">
        <v>0</v>
      </c>
      <c r="HTO73" s="49">
        <v>1</v>
      </c>
      <c r="HTP73" s="58">
        <v>2.5</v>
      </c>
      <c r="HTQ73" s="58">
        <v>5</v>
      </c>
      <c r="HTR73" s="58">
        <v>4</v>
      </c>
      <c r="HTS73" s="49">
        <f>INDEX($T$2:$T$11,MATCH(HTO73,$R$2:$R$11,0))</f>
        <v>0.37</v>
      </c>
      <c r="HTT73" s="49">
        <f t="shared" si="184"/>
        <v>50</v>
      </c>
      <c r="HTU73" s="57">
        <f t="shared" si="185"/>
        <v>18.5</v>
      </c>
      <c r="HTV73" s="59" t="s">
        <v>44</v>
      </c>
      <c r="HTW73" s="49" t="s">
        <v>44</v>
      </c>
      <c r="HTX73" s="51">
        <v>45117</v>
      </c>
      <c r="HTY73" s="49"/>
      <c r="HTZ73" s="49" t="s">
        <v>43</v>
      </c>
      <c r="HUA73" s="49" t="s">
        <v>45</v>
      </c>
      <c r="HUB73" s="49" t="s">
        <v>42</v>
      </c>
      <c r="HUC73" s="49" t="s">
        <v>0</v>
      </c>
      <c r="HUD73" s="49">
        <v>0</v>
      </c>
      <c r="HUE73" s="49">
        <v>1</v>
      </c>
      <c r="HUF73" s="58">
        <v>2.5</v>
      </c>
      <c r="HUG73" s="58">
        <v>5</v>
      </c>
      <c r="HUH73" s="58">
        <v>4</v>
      </c>
      <c r="HUI73" s="49">
        <f>INDEX($T$2:$T$11,MATCH(HUE73,$R$2:$R$11,0))</f>
        <v>0.37</v>
      </c>
      <c r="HUJ73" s="49">
        <f t="shared" ref="HUJ73:HWF73" si="186">HUF73*HUG73*HUH73</f>
        <v>50</v>
      </c>
      <c r="HUK73" s="57">
        <f t="shared" ref="HUK73:HWG73" si="187">HUI73*HUJ73</f>
        <v>18.5</v>
      </c>
      <c r="HUL73" s="59" t="s">
        <v>44</v>
      </c>
      <c r="HUM73" s="49" t="s">
        <v>44</v>
      </c>
      <c r="HUN73" s="51">
        <v>45117</v>
      </c>
      <c r="HUO73" s="49"/>
      <c r="HUP73" s="49" t="s">
        <v>43</v>
      </c>
      <c r="HUQ73" s="49" t="s">
        <v>45</v>
      </c>
      <c r="HUR73" s="49" t="s">
        <v>42</v>
      </c>
      <c r="HUS73" s="49" t="s">
        <v>0</v>
      </c>
      <c r="HUT73" s="49">
        <v>0</v>
      </c>
      <c r="HUU73" s="49">
        <v>1</v>
      </c>
      <c r="HUV73" s="58">
        <v>2.5</v>
      </c>
      <c r="HUW73" s="58">
        <v>5</v>
      </c>
      <c r="HUX73" s="58">
        <v>4</v>
      </c>
      <c r="HUY73" s="49">
        <f>INDEX($T$2:$T$11,MATCH(HUU73,$R$2:$R$11,0))</f>
        <v>0.37</v>
      </c>
      <c r="HUZ73" s="49">
        <f t="shared" si="186"/>
        <v>50</v>
      </c>
      <c r="HVA73" s="57">
        <f t="shared" si="187"/>
        <v>18.5</v>
      </c>
      <c r="HVB73" s="59" t="s">
        <v>44</v>
      </c>
      <c r="HVC73" s="49" t="s">
        <v>44</v>
      </c>
      <c r="HVD73" s="51">
        <v>45117</v>
      </c>
      <c r="HVE73" s="49"/>
      <c r="HVF73" s="49" t="s">
        <v>43</v>
      </c>
      <c r="HVG73" s="49" t="s">
        <v>45</v>
      </c>
      <c r="HVH73" s="49" t="s">
        <v>42</v>
      </c>
      <c r="HVI73" s="49" t="s">
        <v>0</v>
      </c>
      <c r="HVJ73" s="49">
        <v>0</v>
      </c>
      <c r="HVK73" s="49">
        <v>1</v>
      </c>
      <c r="HVL73" s="58">
        <v>2.5</v>
      </c>
      <c r="HVM73" s="58">
        <v>5</v>
      </c>
      <c r="HVN73" s="58">
        <v>4</v>
      </c>
      <c r="HVO73" s="49">
        <f>INDEX($T$2:$T$11,MATCH(HVK73,$R$2:$R$11,0))</f>
        <v>0.37</v>
      </c>
      <c r="HVP73" s="49">
        <f t="shared" si="186"/>
        <v>50</v>
      </c>
      <c r="HVQ73" s="57">
        <f t="shared" si="187"/>
        <v>18.5</v>
      </c>
      <c r="HVR73" s="59" t="s">
        <v>44</v>
      </c>
      <c r="HVS73" s="49" t="s">
        <v>44</v>
      </c>
      <c r="HVT73" s="51">
        <v>45117</v>
      </c>
      <c r="HVU73" s="49"/>
      <c r="HVV73" s="49" t="s">
        <v>43</v>
      </c>
      <c r="HVW73" s="49" t="s">
        <v>45</v>
      </c>
      <c r="HVX73" s="49" t="s">
        <v>42</v>
      </c>
      <c r="HVY73" s="49" t="s">
        <v>0</v>
      </c>
      <c r="HVZ73" s="49">
        <v>0</v>
      </c>
      <c r="HWA73" s="49">
        <v>1</v>
      </c>
      <c r="HWB73" s="58">
        <v>2.5</v>
      </c>
      <c r="HWC73" s="58">
        <v>5</v>
      </c>
      <c r="HWD73" s="58">
        <v>4</v>
      </c>
      <c r="HWE73" s="49">
        <f>INDEX($T$2:$T$11,MATCH(HWA73,$R$2:$R$11,0))</f>
        <v>0.37</v>
      </c>
      <c r="HWF73" s="49">
        <f t="shared" si="186"/>
        <v>50</v>
      </c>
      <c r="HWG73" s="57">
        <f t="shared" si="187"/>
        <v>18.5</v>
      </c>
      <c r="HWH73" s="59" t="s">
        <v>44</v>
      </c>
      <c r="HWI73" s="49" t="s">
        <v>44</v>
      </c>
      <c r="HWJ73" s="51">
        <v>45117</v>
      </c>
      <c r="HWK73" s="49"/>
      <c r="HWL73" s="49" t="s">
        <v>43</v>
      </c>
      <c r="HWM73" s="49" t="s">
        <v>45</v>
      </c>
      <c r="HWN73" s="49" t="s">
        <v>42</v>
      </c>
      <c r="HWO73" s="49" t="s">
        <v>0</v>
      </c>
      <c r="HWP73" s="49">
        <v>0</v>
      </c>
      <c r="HWQ73" s="49">
        <v>1</v>
      </c>
      <c r="HWR73" s="58">
        <v>2.5</v>
      </c>
      <c r="HWS73" s="58">
        <v>5</v>
      </c>
      <c r="HWT73" s="58">
        <v>4</v>
      </c>
      <c r="HWU73" s="49">
        <f>INDEX($T$2:$T$11,MATCH(HWQ73,$R$2:$R$11,0))</f>
        <v>0.37</v>
      </c>
      <c r="HWV73" s="49">
        <f t="shared" ref="HWV73:HYR73" si="188">HWR73*HWS73*HWT73</f>
        <v>50</v>
      </c>
      <c r="HWW73" s="57">
        <f t="shared" ref="HWW73:HYS73" si="189">HWU73*HWV73</f>
        <v>18.5</v>
      </c>
      <c r="HWX73" s="59" t="s">
        <v>44</v>
      </c>
      <c r="HWY73" s="49" t="s">
        <v>44</v>
      </c>
      <c r="HWZ73" s="51">
        <v>45117</v>
      </c>
      <c r="HXA73" s="49"/>
      <c r="HXB73" s="49" t="s">
        <v>43</v>
      </c>
      <c r="HXC73" s="49" t="s">
        <v>45</v>
      </c>
      <c r="HXD73" s="49" t="s">
        <v>42</v>
      </c>
      <c r="HXE73" s="49" t="s">
        <v>0</v>
      </c>
      <c r="HXF73" s="49">
        <v>0</v>
      </c>
      <c r="HXG73" s="49">
        <v>1</v>
      </c>
      <c r="HXH73" s="58">
        <v>2.5</v>
      </c>
      <c r="HXI73" s="58">
        <v>5</v>
      </c>
      <c r="HXJ73" s="58">
        <v>4</v>
      </c>
      <c r="HXK73" s="49">
        <f>INDEX($T$2:$T$11,MATCH(HXG73,$R$2:$R$11,0))</f>
        <v>0.37</v>
      </c>
      <c r="HXL73" s="49">
        <f t="shared" si="188"/>
        <v>50</v>
      </c>
      <c r="HXM73" s="57">
        <f t="shared" si="189"/>
        <v>18.5</v>
      </c>
      <c r="HXN73" s="59" t="s">
        <v>44</v>
      </c>
      <c r="HXO73" s="49" t="s">
        <v>44</v>
      </c>
      <c r="HXP73" s="51">
        <v>45117</v>
      </c>
      <c r="HXQ73" s="49"/>
      <c r="HXR73" s="49" t="s">
        <v>43</v>
      </c>
      <c r="HXS73" s="49" t="s">
        <v>45</v>
      </c>
      <c r="HXT73" s="49" t="s">
        <v>42</v>
      </c>
      <c r="HXU73" s="49" t="s">
        <v>0</v>
      </c>
      <c r="HXV73" s="49">
        <v>0</v>
      </c>
      <c r="HXW73" s="49">
        <v>1</v>
      </c>
      <c r="HXX73" s="58">
        <v>2.5</v>
      </c>
      <c r="HXY73" s="58">
        <v>5</v>
      </c>
      <c r="HXZ73" s="58">
        <v>4</v>
      </c>
      <c r="HYA73" s="49">
        <f>INDEX($T$2:$T$11,MATCH(HXW73,$R$2:$R$11,0))</f>
        <v>0.37</v>
      </c>
      <c r="HYB73" s="49">
        <f t="shared" si="188"/>
        <v>50</v>
      </c>
      <c r="HYC73" s="57">
        <f t="shared" si="189"/>
        <v>18.5</v>
      </c>
      <c r="HYD73" s="59" t="s">
        <v>44</v>
      </c>
      <c r="HYE73" s="49" t="s">
        <v>44</v>
      </c>
      <c r="HYF73" s="51">
        <v>45117</v>
      </c>
      <c r="HYG73" s="49"/>
      <c r="HYH73" s="49" t="s">
        <v>43</v>
      </c>
      <c r="HYI73" s="49" t="s">
        <v>45</v>
      </c>
      <c r="HYJ73" s="49" t="s">
        <v>42</v>
      </c>
      <c r="HYK73" s="49" t="s">
        <v>0</v>
      </c>
      <c r="HYL73" s="49">
        <v>0</v>
      </c>
      <c r="HYM73" s="49">
        <v>1</v>
      </c>
      <c r="HYN73" s="58">
        <v>2.5</v>
      </c>
      <c r="HYO73" s="58">
        <v>5</v>
      </c>
      <c r="HYP73" s="58">
        <v>4</v>
      </c>
      <c r="HYQ73" s="49">
        <f>INDEX($T$2:$T$11,MATCH(HYM73,$R$2:$R$11,0))</f>
        <v>0.37</v>
      </c>
      <c r="HYR73" s="49">
        <f t="shared" si="188"/>
        <v>50</v>
      </c>
      <c r="HYS73" s="57">
        <f t="shared" si="189"/>
        <v>18.5</v>
      </c>
      <c r="HYT73" s="59" t="s">
        <v>44</v>
      </c>
      <c r="HYU73" s="49" t="s">
        <v>44</v>
      </c>
      <c r="HYV73" s="51">
        <v>45117</v>
      </c>
      <c r="HYW73" s="49"/>
      <c r="HYX73" s="49" t="s">
        <v>43</v>
      </c>
      <c r="HYY73" s="49" t="s">
        <v>45</v>
      </c>
      <c r="HYZ73" s="49" t="s">
        <v>42</v>
      </c>
      <c r="HZA73" s="49" t="s">
        <v>0</v>
      </c>
      <c r="HZB73" s="49">
        <v>0</v>
      </c>
      <c r="HZC73" s="49">
        <v>1</v>
      </c>
      <c r="HZD73" s="58">
        <v>2.5</v>
      </c>
      <c r="HZE73" s="58">
        <v>5</v>
      </c>
      <c r="HZF73" s="58">
        <v>4</v>
      </c>
      <c r="HZG73" s="49">
        <f>INDEX($T$2:$T$11,MATCH(HZC73,$R$2:$R$11,0))</f>
        <v>0.37</v>
      </c>
      <c r="HZH73" s="49">
        <f t="shared" ref="HZH73:IBD73" si="190">HZD73*HZE73*HZF73</f>
        <v>50</v>
      </c>
      <c r="HZI73" s="57">
        <f t="shared" ref="HZI73:IBE73" si="191">HZG73*HZH73</f>
        <v>18.5</v>
      </c>
      <c r="HZJ73" s="59" t="s">
        <v>44</v>
      </c>
      <c r="HZK73" s="49" t="s">
        <v>44</v>
      </c>
      <c r="HZL73" s="51">
        <v>45117</v>
      </c>
      <c r="HZM73" s="49"/>
      <c r="HZN73" s="49" t="s">
        <v>43</v>
      </c>
      <c r="HZO73" s="49" t="s">
        <v>45</v>
      </c>
      <c r="HZP73" s="49" t="s">
        <v>42</v>
      </c>
      <c r="HZQ73" s="49" t="s">
        <v>0</v>
      </c>
      <c r="HZR73" s="49">
        <v>0</v>
      </c>
      <c r="HZS73" s="49">
        <v>1</v>
      </c>
      <c r="HZT73" s="58">
        <v>2.5</v>
      </c>
      <c r="HZU73" s="58">
        <v>5</v>
      </c>
      <c r="HZV73" s="58">
        <v>4</v>
      </c>
      <c r="HZW73" s="49">
        <f>INDEX($T$2:$T$11,MATCH(HZS73,$R$2:$R$11,0))</f>
        <v>0.37</v>
      </c>
      <c r="HZX73" s="49">
        <f t="shared" si="190"/>
        <v>50</v>
      </c>
      <c r="HZY73" s="57">
        <f t="shared" si="191"/>
        <v>18.5</v>
      </c>
      <c r="HZZ73" s="59" t="s">
        <v>44</v>
      </c>
      <c r="IAA73" s="49" t="s">
        <v>44</v>
      </c>
      <c r="IAB73" s="51">
        <v>45117</v>
      </c>
      <c r="IAC73" s="49"/>
      <c r="IAD73" s="49" t="s">
        <v>43</v>
      </c>
      <c r="IAE73" s="49" t="s">
        <v>45</v>
      </c>
      <c r="IAF73" s="49" t="s">
        <v>42</v>
      </c>
      <c r="IAG73" s="49" t="s">
        <v>0</v>
      </c>
      <c r="IAH73" s="49">
        <v>0</v>
      </c>
      <c r="IAI73" s="49">
        <v>1</v>
      </c>
      <c r="IAJ73" s="58">
        <v>2.5</v>
      </c>
      <c r="IAK73" s="58">
        <v>5</v>
      </c>
      <c r="IAL73" s="58">
        <v>4</v>
      </c>
      <c r="IAM73" s="49">
        <f>INDEX($T$2:$T$11,MATCH(IAI73,$R$2:$R$11,0))</f>
        <v>0.37</v>
      </c>
      <c r="IAN73" s="49">
        <f t="shared" si="190"/>
        <v>50</v>
      </c>
      <c r="IAO73" s="57">
        <f t="shared" si="191"/>
        <v>18.5</v>
      </c>
      <c r="IAP73" s="59" t="s">
        <v>44</v>
      </c>
      <c r="IAQ73" s="49" t="s">
        <v>44</v>
      </c>
      <c r="IAR73" s="51">
        <v>45117</v>
      </c>
      <c r="IAS73" s="49"/>
      <c r="IAT73" s="49" t="s">
        <v>43</v>
      </c>
      <c r="IAU73" s="49" t="s">
        <v>45</v>
      </c>
      <c r="IAV73" s="49" t="s">
        <v>42</v>
      </c>
      <c r="IAW73" s="49" t="s">
        <v>0</v>
      </c>
      <c r="IAX73" s="49">
        <v>0</v>
      </c>
      <c r="IAY73" s="49">
        <v>1</v>
      </c>
      <c r="IAZ73" s="58">
        <v>2.5</v>
      </c>
      <c r="IBA73" s="58">
        <v>5</v>
      </c>
      <c r="IBB73" s="58">
        <v>4</v>
      </c>
      <c r="IBC73" s="49">
        <f>INDEX($T$2:$T$11,MATCH(IAY73,$R$2:$R$11,0))</f>
        <v>0.37</v>
      </c>
      <c r="IBD73" s="49">
        <f t="shared" si="190"/>
        <v>50</v>
      </c>
      <c r="IBE73" s="57">
        <f t="shared" si="191"/>
        <v>18.5</v>
      </c>
      <c r="IBF73" s="59" t="s">
        <v>44</v>
      </c>
      <c r="IBG73" s="49" t="s">
        <v>44</v>
      </c>
      <c r="IBH73" s="51">
        <v>45117</v>
      </c>
      <c r="IBI73" s="49"/>
      <c r="IBJ73" s="49" t="s">
        <v>43</v>
      </c>
      <c r="IBK73" s="49" t="s">
        <v>45</v>
      </c>
      <c r="IBL73" s="49" t="s">
        <v>42</v>
      </c>
      <c r="IBM73" s="49" t="s">
        <v>0</v>
      </c>
      <c r="IBN73" s="49">
        <v>0</v>
      </c>
      <c r="IBO73" s="49">
        <v>1</v>
      </c>
      <c r="IBP73" s="58">
        <v>2.5</v>
      </c>
      <c r="IBQ73" s="58">
        <v>5</v>
      </c>
      <c r="IBR73" s="58">
        <v>4</v>
      </c>
      <c r="IBS73" s="49">
        <f>INDEX($T$2:$T$11,MATCH(IBO73,$R$2:$R$11,0))</f>
        <v>0.37</v>
      </c>
      <c r="IBT73" s="49">
        <f t="shared" ref="IBT73:IDP73" si="192">IBP73*IBQ73*IBR73</f>
        <v>50</v>
      </c>
      <c r="IBU73" s="57">
        <f t="shared" ref="IBU73:IDQ73" si="193">IBS73*IBT73</f>
        <v>18.5</v>
      </c>
      <c r="IBV73" s="59" t="s">
        <v>44</v>
      </c>
      <c r="IBW73" s="49" t="s">
        <v>44</v>
      </c>
      <c r="IBX73" s="51">
        <v>45117</v>
      </c>
      <c r="IBY73" s="49"/>
      <c r="IBZ73" s="49" t="s">
        <v>43</v>
      </c>
      <c r="ICA73" s="49" t="s">
        <v>45</v>
      </c>
      <c r="ICB73" s="49" t="s">
        <v>42</v>
      </c>
      <c r="ICC73" s="49" t="s">
        <v>0</v>
      </c>
      <c r="ICD73" s="49">
        <v>0</v>
      </c>
      <c r="ICE73" s="49">
        <v>1</v>
      </c>
      <c r="ICF73" s="58">
        <v>2.5</v>
      </c>
      <c r="ICG73" s="58">
        <v>5</v>
      </c>
      <c r="ICH73" s="58">
        <v>4</v>
      </c>
      <c r="ICI73" s="49">
        <f>INDEX($T$2:$T$11,MATCH(ICE73,$R$2:$R$11,0))</f>
        <v>0.37</v>
      </c>
      <c r="ICJ73" s="49">
        <f t="shared" si="192"/>
        <v>50</v>
      </c>
      <c r="ICK73" s="57">
        <f t="shared" si="193"/>
        <v>18.5</v>
      </c>
      <c r="ICL73" s="59" t="s">
        <v>44</v>
      </c>
      <c r="ICM73" s="49" t="s">
        <v>44</v>
      </c>
      <c r="ICN73" s="51">
        <v>45117</v>
      </c>
      <c r="ICO73" s="49"/>
      <c r="ICP73" s="49" t="s">
        <v>43</v>
      </c>
      <c r="ICQ73" s="49" t="s">
        <v>45</v>
      </c>
      <c r="ICR73" s="49" t="s">
        <v>42</v>
      </c>
      <c r="ICS73" s="49" t="s">
        <v>0</v>
      </c>
      <c r="ICT73" s="49">
        <v>0</v>
      </c>
      <c r="ICU73" s="49">
        <v>1</v>
      </c>
      <c r="ICV73" s="58">
        <v>2.5</v>
      </c>
      <c r="ICW73" s="58">
        <v>5</v>
      </c>
      <c r="ICX73" s="58">
        <v>4</v>
      </c>
      <c r="ICY73" s="49">
        <f>INDEX($T$2:$T$11,MATCH(ICU73,$R$2:$R$11,0))</f>
        <v>0.37</v>
      </c>
      <c r="ICZ73" s="49">
        <f t="shared" si="192"/>
        <v>50</v>
      </c>
      <c r="IDA73" s="57">
        <f t="shared" si="193"/>
        <v>18.5</v>
      </c>
      <c r="IDB73" s="59" t="s">
        <v>44</v>
      </c>
      <c r="IDC73" s="49" t="s">
        <v>44</v>
      </c>
      <c r="IDD73" s="51">
        <v>45117</v>
      </c>
      <c r="IDE73" s="49"/>
      <c r="IDF73" s="49" t="s">
        <v>43</v>
      </c>
      <c r="IDG73" s="49" t="s">
        <v>45</v>
      </c>
      <c r="IDH73" s="49" t="s">
        <v>42</v>
      </c>
      <c r="IDI73" s="49" t="s">
        <v>0</v>
      </c>
      <c r="IDJ73" s="49">
        <v>0</v>
      </c>
      <c r="IDK73" s="49">
        <v>1</v>
      </c>
      <c r="IDL73" s="58">
        <v>2.5</v>
      </c>
      <c r="IDM73" s="58">
        <v>5</v>
      </c>
      <c r="IDN73" s="58">
        <v>4</v>
      </c>
      <c r="IDO73" s="49">
        <f>INDEX($T$2:$T$11,MATCH(IDK73,$R$2:$R$11,0))</f>
        <v>0.37</v>
      </c>
      <c r="IDP73" s="49">
        <f t="shared" si="192"/>
        <v>50</v>
      </c>
      <c r="IDQ73" s="57">
        <f t="shared" si="193"/>
        <v>18.5</v>
      </c>
      <c r="IDR73" s="59" t="s">
        <v>44</v>
      </c>
      <c r="IDS73" s="49" t="s">
        <v>44</v>
      </c>
      <c r="IDT73" s="51">
        <v>45117</v>
      </c>
      <c r="IDU73" s="49"/>
      <c r="IDV73" s="49" t="s">
        <v>43</v>
      </c>
      <c r="IDW73" s="49" t="s">
        <v>45</v>
      </c>
      <c r="IDX73" s="49" t="s">
        <v>42</v>
      </c>
      <c r="IDY73" s="49" t="s">
        <v>0</v>
      </c>
      <c r="IDZ73" s="49">
        <v>0</v>
      </c>
      <c r="IEA73" s="49">
        <v>1</v>
      </c>
      <c r="IEB73" s="58">
        <v>2.5</v>
      </c>
      <c r="IEC73" s="58">
        <v>5</v>
      </c>
      <c r="IED73" s="58">
        <v>4</v>
      </c>
      <c r="IEE73" s="49">
        <f>INDEX($T$2:$T$11,MATCH(IEA73,$R$2:$R$11,0))</f>
        <v>0.37</v>
      </c>
      <c r="IEF73" s="49">
        <f t="shared" ref="IEF73:IGB73" si="194">IEB73*IEC73*IED73</f>
        <v>50</v>
      </c>
      <c r="IEG73" s="57">
        <f t="shared" ref="IEG73:IGC73" si="195">IEE73*IEF73</f>
        <v>18.5</v>
      </c>
      <c r="IEH73" s="59" t="s">
        <v>44</v>
      </c>
      <c r="IEI73" s="49" t="s">
        <v>44</v>
      </c>
      <c r="IEJ73" s="51">
        <v>45117</v>
      </c>
      <c r="IEK73" s="49"/>
      <c r="IEL73" s="49" t="s">
        <v>43</v>
      </c>
      <c r="IEM73" s="49" t="s">
        <v>45</v>
      </c>
      <c r="IEN73" s="49" t="s">
        <v>42</v>
      </c>
      <c r="IEO73" s="49" t="s">
        <v>0</v>
      </c>
      <c r="IEP73" s="49">
        <v>0</v>
      </c>
      <c r="IEQ73" s="49">
        <v>1</v>
      </c>
      <c r="IER73" s="58">
        <v>2.5</v>
      </c>
      <c r="IES73" s="58">
        <v>5</v>
      </c>
      <c r="IET73" s="58">
        <v>4</v>
      </c>
      <c r="IEU73" s="49">
        <f>INDEX($T$2:$T$11,MATCH(IEQ73,$R$2:$R$11,0))</f>
        <v>0.37</v>
      </c>
      <c r="IEV73" s="49">
        <f t="shared" si="194"/>
        <v>50</v>
      </c>
      <c r="IEW73" s="57">
        <f t="shared" si="195"/>
        <v>18.5</v>
      </c>
      <c r="IEX73" s="59" t="s">
        <v>44</v>
      </c>
      <c r="IEY73" s="49" t="s">
        <v>44</v>
      </c>
      <c r="IEZ73" s="51">
        <v>45117</v>
      </c>
      <c r="IFA73" s="49"/>
      <c r="IFB73" s="49" t="s">
        <v>43</v>
      </c>
      <c r="IFC73" s="49" t="s">
        <v>45</v>
      </c>
      <c r="IFD73" s="49" t="s">
        <v>42</v>
      </c>
      <c r="IFE73" s="49" t="s">
        <v>0</v>
      </c>
      <c r="IFF73" s="49">
        <v>0</v>
      </c>
      <c r="IFG73" s="49">
        <v>1</v>
      </c>
      <c r="IFH73" s="58">
        <v>2.5</v>
      </c>
      <c r="IFI73" s="58">
        <v>5</v>
      </c>
      <c r="IFJ73" s="58">
        <v>4</v>
      </c>
      <c r="IFK73" s="49">
        <f>INDEX($T$2:$T$11,MATCH(IFG73,$R$2:$R$11,0))</f>
        <v>0.37</v>
      </c>
      <c r="IFL73" s="49">
        <f t="shared" si="194"/>
        <v>50</v>
      </c>
      <c r="IFM73" s="57">
        <f t="shared" si="195"/>
        <v>18.5</v>
      </c>
      <c r="IFN73" s="59" t="s">
        <v>44</v>
      </c>
      <c r="IFO73" s="49" t="s">
        <v>44</v>
      </c>
      <c r="IFP73" s="51">
        <v>45117</v>
      </c>
      <c r="IFQ73" s="49"/>
      <c r="IFR73" s="49" t="s">
        <v>43</v>
      </c>
      <c r="IFS73" s="49" t="s">
        <v>45</v>
      </c>
      <c r="IFT73" s="49" t="s">
        <v>42</v>
      </c>
      <c r="IFU73" s="49" t="s">
        <v>0</v>
      </c>
      <c r="IFV73" s="49">
        <v>0</v>
      </c>
      <c r="IFW73" s="49">
        <v>1</v>
      </c>
      <c r="IFX73" s="58">
        <v>2.5</v>
      </c>
      <c r="IFY73" s="58">
        <v>5</v>
      </c>
      <c r="IFZ73" s="58">
        <v>4</v>
      </c>
      <c r="IGA73" s="49">
        <f>INDEX($T$2:$T$11,MATCH(IFW73,$R$2:$R$11,0))</f>
        <v>0.37</v>
      </c>
      <c r="IGB73" s="49">
        <f t="shared" si="194"/>
        <v>50</v>
      </c>
      <c r="IGC73" s="57">
        <f t="shared" si="195"/>
        <v>18.5</v>
      </c>
      <c r="IGD73" s="59" t="s">
        <v>44</v>
      </c>
      <c r="IGE73" s="49" t="s">
        <v>44</v>
      </c>
      <c r="IGF73" s="51">
        <v>45117</v>
      </c>
      <c r="IGG73" s="49"/>
      <c r="IGH73" s="49" t="s">
        <v>43</v>
      </c>
      <c r="IGI73" s="49" t="s">
        <v>45</v>
      </c>
      <c r="IGJ73" s="49" t="s">
        <v>42</v>
      </c>
      <c r="IGK73" s="49" t="s">
        <v>0</v>
      </c>
      <c r="IGL73" s="49">
        <v>0</v>
      </c>
      <c r="IGM73" s="49">
        <v>1</v>
      </c>
      <c r="IGN73" s="58">
        <v>2.5</v>
      </c>
      <c r="IGO73" s="58">
        <v>5</v>
      </c>
      <c r="IGP73" s="58">
        <v>4</v>
      </c>
      <c r="IGQ73" s="49">
        <f>INDEX($T$2:$T$11,MATCH(IGM73,$R$2:$R$11,0))</f>
        <v>0.37</v>
      </c>
      <c r="IGR73" s="49">
        <f t="shared" ref="IGR73:IIN73" si="196">IGN73*IGO73*IGP73</f>
        <v>50</v>
      </c>
      <c r="IGS73" s="57">
        <f t="shared" ref="IGS73:IIO73" si="197">IGQ73*IGR73</f>
        <v>18.5</v>
      </c>
      <c r="IGT73" s="59" t="s">
        <v>44</v>
      </c>
      <c r="IGU73" s="49" t="s">
        <v>44</v>
      </c>
      <c r="IGV73" s="51">
        <v>45117</v>
      </c>
      <c r="IGW73" s="49"/>
      <c r="IGX73" s="49" t="s">
        <v>43</v>
      </c>
      <c r="IGY73" s="49" t="s">
        <v>45</v>
      </c>
      <c r="IGZ73" s="49" t="s">
        <v>42</v>
      </c>
      <c r="IHA73" s="49" t="s">
        <v>0</v>
      </c>
      <c r="IHB73" s="49">
        <v>0</v>
      </c>
      <c r="IHC73" s="49">
        <v>1</v>
      </c>
      <c r="IHD73" s="58">
        <v>2.5</v>
      </c>
      <c r="IHE73" s="58">
        <v>5</v>
      </c>
      <c r="IHF73" s="58">
        <v>4</v>
      </c>
      <c r="IHG73" s="49">
        <f>INDEX($T$2:$T$11,MATCH(IHC73,$R$2:$R$11,0))</f>
        <v>0.37</v>
      </c>
      <c r="IHH73" s="49">
        <f t="shared" si="196"/>
        <v>50</v>
      </c>
      <c r="IHI73" s="57">
        <f t="shared" si="197"/>
        <v>18.5</v>
      </c>
      <c r="IHJ73" s="59" t="s">
        <v>44</v>
      </c>
      <c r="IHK73" s="49" t="s">
        <v>44</v>
      </c>
      <c r="IHL73" s="51">
        <v>45117</v>
      </c>
      <c r="IHM73" s="49"/>
      <c r="IHN73" s="49" t="s">
        <v>43</v>
      </c>
      <c r="IHO73" s="49" t="s">
        <v>45</v>
      </c>
      <c r="IHP73" s="49" t="s">
        <v>42</v>
      </c>
      <c r="IHQ73" s="49" t="s">
        <v>0</v>
      </c>
      <c r="IHR73" s="49">
        <v>0</v>
      </c>
      <c r="IHS73" s="49">
        <v>1</v>
      </c>
      <c r="IHT73" s="58">
        <v>2.5</v>
      </c>
      <c r="IHU73" s="58">
        <v>5</v>
      </c>
      <c r="IHV73" s="58">
        <v>4</v>
      </c>
      <c r="IHW73" s="49">
        <f>INDEX($T$2:$T$11,MATCH(IHS73,$R$2:$R$11,0))</f>
        <v>0.37</v>
      </c>
      <c r="IHX73" s="49">
        <f t="shared" si="196"/>
        <v>50</v>
      </c>
      <c r="IHY73" s="57">
        <f t="shared" si="197"/>
        <v>18.5</v>
      </c>
      <c r="IHZ73" s="59" t="s">
        <v>44</v>
      </c>
      <c r="IIA73" s="49" t="s">
        <v>44</v>
      </c>
      <c r="IIB73" s="51">
        <v>45117</v>
      </c>
      <c r="IIC73" s="49"/>
      <c r="IID73" s="49" t="s">
        <v>43</v>
      </c>
      <c r="IIE73" s="49" t="s">
        <v>45</v>
      </c>
      <c r="IIF73" s="49" t="s">
        <v>42</v>
      </c>
      <c r="IIG73" s="49" t="s">
        <v>0</v>
      </c>
      <c r="IIH73" s="49">
        <v>0</v>
      </c>
      <c r="III73" s="49">
        <v>1</v>
      </c>
      <c r="IIJ73" s="58">
        <v>2.5</v>
      </c>
      <c r="IIK73" s="58">
        <v>5</v>
      </c>
      <c r="IIL73" s="58">
        <v>4</v>
      </c>
      <c r="IIM73" s="49">
        <f>INDEX($T$2:$T$11,MATCH(III73,$R$2:$R$11,0))</f>
        <v>0.37</v>
      </c>
      <c r="IIN73" s="49">
        <f t="shared" si="196"/>
        <v>50</v>
      </c>
      <c r="IIO73" s="57">
        <f t="shared" si="197"/>
        <v>18.5</v>
      </c>
      <c r="IIP73" s="59" t="s">
        <v>44</v>
      </c>
      <c r="IIQ73" s="49" t="s">
        <v>44</v>
      </c>
      <c r="IIR73" s="51">
        <v>45117</v>
      </c>
      <c r="IIS73" s="49"/>
      <c r="IIT73" s="49" t="s">
        <v>43</v>
      </c>
      <c r="IIU73" s="49" t="s">
        <v>45</v>
      </c>
      <c r="IIV73" s="49" t="s">
        <v>42</v>
      </c>
      <c r="IIW73" s="49" t="s">
        <v>0</v>
      </c>
      <c r="IIX73" s="49">
        <v>0</v>
      </c>
      <c r="IIY73" s="49">
        <v>1</v>
      </c>
      <c r="IIZ73" s="58">
        <v>2.5</v>
      </c>
      <c r="IJA73" s="58">
        <v>5</v>
      </c>
      <c r="IJB73" s="58">
        <v>4</v>
      </c>
      <c r="IJC73" s="49">
        <f>INDEX($T$2:$T$11,MATCH(IIY73,$R$2:$R$11,0))</f>
        <v>0.37</v>
      </c>
      <c r="IJD73" s="49">
        <f t="shared" ref="IJD73:IKZ73" si="198">IIZ73*IJA73*IJB73</f>
        <v>50</v>
      </c>
      <c r="IJE73" s="57">
        <f t="shared" ref="IJE73:ILA73" si="199">IJC73*IJD73</f>
        <v>18.5</v>
      </c>
      <c r="IJF73" s="59" t="s">
        <v>44</v>
      </c>
      <c r="IJG73" s="49" t="s">
        <v>44</v>
      </c>
      <c r="IJH73" s="51">
        <v>45117</v>
      </c>
      <c r="IJI73" s="49"/>
      <c r="IJJ73" s="49" t="s">
        <v>43</v>
      </c>
      <c r="IJK73" s="49" t="s">
        <v>45</v>
      </c>
      <c r="IJL73" s="49" t="s">
        <v>42</v>
      </c>
      <c r="IJM73" s="49" t="s">
        <v>0</v>
      </c>
      <c r="IJN73" s="49">
        <v>0</v>
      </c>
      <c r="IJO73" s="49">
        <v>1</v>
      </c>
      <c r="IJP73" s="58">
        <v>2.5</v>
      </c>
      <c r="IJQ73" s="58">
        <v>5</v>
      </c>
      <c r="IJR73" s="58">
        <v>4</v>
      </c>
      <c r="IJS73" s="49">
        <f>INDEX($T$2:$T$11,MATCH(IJO73,$R$2:$R$11,0))</f>
        <v>0.37</v>
      </c>
      <c r="IJT73" s="49">
        <f t="shared" si="198"/>
        <v>50</v>
      </c>
      <c r="IJU73" s="57">
        <f t="shared" si="199"/>
        <v>18.5</v>
      </c>
      <c r="IJV73" s="59" t="s">
        <v>44</v>
      </c>
      <c r="IJW73" s="49" t="s">
        <v>44</v>
      </c>
      <c r="IJX73" s="51">
        <v>45117</v>
      </c>
      <c r="IJY73" s="49"/>
      <c r="IJZ73" s="49" t="s">
        <v>43</v>
      </c>
      <c r="IKA73" s="49" t="s">
        <v>45</v>
      </c>
      <c r="IKB73" s="49" t="s">
        <v>42</v>
      </c>
      <c r="IKC73" s="49" t="s">
        <v>0</v>
      </c>
      <c r="IKD73" s="49">
        <v>0</v>
      </c>
      <c r="IKE73" s="49">
        <v>1</v>
      </c>
      <c r="IKF73" s="58">
        <v>2.5</v>
      </c>
      <c r="IKG73" s="58">
        <v>5</v>
      </c>
      <c r="IKH73" s="58">
        <v>4</v>
      </c>
      <c r="IKI73" s="49">
        <f>INDEX($T$2:$T$11,MATCH(IKE73,$R$2:$R$11,0))</f>
        <v>0.37</v>
      </c>
      <c r="IKJ73" s="49">
        <f t="shared" si="198"/>
        <v>50</v>
      </c>
      <c r="IKK73" s="57">
        <f t="shared" si="199"/>
        <v>18.5</v>
      </c>
      <c r="IKL73" s="59" t="s">
        <v>44</v>
      </c>
      <c r="IKM73" s="49" t="s">
        <v>44</v>
      </c>
      <c r="IKN73" s="51">
        <v>45117</v>
      </c>
      <c r="IKO73" s="49"/>
      <c r="IKP73" s="49" t="s">
        <v>43</v>
      </c>
      <c r="IKQ73" s="49" t="s">
        <v>45</v>
      </c>
      <c r="IKR73" s="49" t="s">
        <v>42</v>
      </c>
      <c r="IKS73" s="49" t="s">
        <v>0</v>
      </c>
      <c r="IKT73" s="49">
        <v>0</v>
      </c>
      <c r="IKU73" s="49">
        <v>1</v>
      </c>
      <c r="IKV73" s="58">
        <v>2.5</v>
      </c>
      <c r="IKW73" s="58">
        <v>5</v>
      </c>
      <c r="IKX73" s="58">
        <v>4</v>
      </c>
      <c r="IKY73" s="49">
        <f>INDEX($T$2:$T$11,MATCH(IKU73,$R$2:$R$11,0))</f>
        <v>0.37</v>
      </c>
      <c r="IKZ73" s="49">
        <f t="shared" si="198"/>
        <v>50</v>
      </c>
      <c r="ILA73" s="57">
        <f t="shared" si="199"/>
        <v>18.5</v>
      </c>
      <c r="ILB73" s="59" t="s">
        <v>44</v>
      </c>
      <c r="ILC73" s="49" t="s">
        <v>44</v>
      </c>
      <c r="ILD73" s="51">
        <v>45117</v>
      </c>
      <c r="ILE73" s="49"/>
      <c r="ILF73" s="49" t="s">
        <v>43</v>
      </c>
      <c r="ILG73" s="49" t="s">
        <v>45</v>
      </c>
      <c r="ILH73" s="49" t="s">
        <v>42</v>
      </c>
      <c r="ILI73" s="49" t="s">
        <v>0</v>
      </c>
      <c r="ILJ73" s="49">
        <v>0</v>
      </c>
      <c r="ILK73" s="49">
        <v>1</v>
      </c>
      <c r="ILL73" s="58">
        <v>2.5</v>
      </c>
      <c r="ILM73" s="58">
        <v>5</v>
      </c>
      <c r="ILN73" s="58">
        <v>4</v>
      </c>
      <c r="ILO73" s="49">
        <f>INDEX($T$2:$T$11,MATCH(ILK73,$R$2:$R$11,0))</f>
        <v>0.37</v>
      </c>
      <c r="ILP73" s="49">
        <f t="shared" ref="ILP73:INL73" si="200">ILL73*ILM73*ILN73</f>
        <v>50</v>
      </c>
      <c r="ILQ73" s="57">
        <f t="shared" ref="ILQ73:INM73" si="201">ILO73*ILP73</f>
        <v>18.5</v>
      </c>
      <c r="ILR73" s="59" t="s">
        <v>44</v>
      </c>
      <c r="ILS73" s="49" t="s">
        <v>44</v>
      </c>
      <c r="ILT73" s="51">
        <v>45117</v>
      </c>
      <c r="ILU73" s="49"/>
      <c r="ILV73" s="49" t="s">
        <v>43</v>
      </c>
      <c r="ILW73" s="49" t="s">
        <v>45</v>
      </c>
      <c r="ILX73" s="49" t="s">
        <v>42</v>
      </c>
      <c r="ILY73" s="49" t="s">
        <v>0</v>
      </c>
      <c r="ILZ73" s="49">
        <v>0</v>
      </c>
      <c r="IMA73" s="49">
        <v>1</v>
      </c>
      <c r="IMB73" s="58">
        <v>2.5</v>
      </c>
      <c r="IMC73" s="58">
        <v>5</v>
      </c>
      <c r="IMD73" s="58">
        <v>4</v>
      </c>
      <c r="IME73" s="49">
        <f>INDEX($T$2:$T$11,MATCH(IMA73,$R$2:$R$11,0))</f>
        <v>0.37</v>
      </c>
      <c r="IMF73" s="49">
        <f t="shared" si="200"/>
        <v>50</v>
      </c>
      <c r="IMG73" s="57">
        <f t="shared" si="201"/>
        <v>18.5</v>
      </c>
      <c r="IMH73" s="59" t="s">
        <v>44</v>
      </c>
      <c r="IMI73" s="49" t="s">
        <v>44</v>
      </c>
      <c r="IMJ73" s="51">
        <v>45117</v>
      </c>
      <c r="IMK73" s="49"/>
      <c r="IML73" s="49" t="s">
        <v>43</v>
      </c>
      <c r="IMM73" s="49" t="s">
        <v>45</v>
      </c>
      <c r="IMN73" s="49" t="s">
        <v>42</v>
      </c>
      <c r="IMO73" s="49" t="s">
        <v>0</v>
      </c>
      <c r="IMP73" s="49">
        <v>0</v>
      </c>
      <c r="IMQ73" s="49">
        <v>1</v>
      </c>
      <c r="IMR73" s="58">
        <v>2.5</v>
      </c>
      <c r="IMS73" s="58">
        <v>5</v>
      </c>
      <c r="IMT73" s="58">
        <v>4</v>
      </c>
      <c r="IMU73" s="49">
        <f>INDEX($T$2:$T$11,MATCH(IMQ73,$R$2:$R$11,0))</f>
        <v>0.37</v>
      </c>
      <c r="IMV73" s="49">
        <f t="shared" si="200"/>
        <v>50</v>
      </c>
      <c r="IMW73" s="57">
        <f t="shared" si="201"/>
        <v>18.5</v>
      </c>
      <c r="IMX73" s="59" t="s">
        <v>44</v>
      </c>
      <c r="IMY73" s="49" t="s">
        <v>44</v>
      </c>
      <c r="IMZ73" s="51">
        <v>45117</v>
      </c>
      <c r="INA73" s="49"/>
      <c r="INB73" s="49" t="s">
        <v>43</v>
      </c>
      <c r="INC73" s="49" t="s">
        <v>45</v>
      </c>
      <c r="IND73" s="49" t="s">
        <v>42</v>
      </c>
      <c r="INE73" s="49" t="s">
        <v>0</v>
      </c>
      <c r="INF73" s="49">
        <v>0</v>
      </c>
      <c r="ING73" s="49">
        <v>1</v>
      </c>
      <c r="INH73" s="58">
        <v>2.5</v>
      </c>
      <c r="INI73" s="58">
        <v>5</v>
      </c>
      <c r="INJ73" s="58">
        <v>4</v>
      </c>
      <c r="INK73" s="49">
        <f>INDEX($T$2:$T$11,MATCH(ING73,$R$2:$R$11,0))</f>
        <v>0.37</v>
      </c>
      <c r="INL73" s="49">
        <f t="shared" si="200"/>
        <v>50</v>
      </c>
      <c r="INM73" s="57">
        <f t="shared" si="201"/>
        <v>18.5</v>
      </c>
      <c r="INN73" s="59" t="s">
        <v>44</v>
      </c>
      <c r="INO73" s="49" t="s">
        <v>44</v>
      </c>
      <c r="INP73" s="51">
        <v>45117</v>
      </c>
      <c r="INQ73" s="49"/>
      <c r="INR73" s="49" t="s">
        <v>43</v>
      </c>
      <c r="INS73" s="49" t="s">
        <v>45</v>
      </c>
      <c r="INT73" s="49" t="s">
        <v>42</v>
      </c>
      <c r="INU73" s="49" t="s">
        <v>0</v>
      </c>
      <c r="INV73" s="49">
        <v>0</v>
      </c>
      <c r="INW73" s="49">
        <v>1</v>
      </c>
      <c r="INX73" s="58">
        <v>2.5</v>
      </c>
      <c r="INY73" s="58">
        <v>5</v>
      </c>
      <c r="INZ73" s="58">
        <v>4</v>
      </c>
      <c r="IOA73" s="49">
        <f>INDEX($T$2:$T$11,MATCH(INW73,$R$2:$R$11,0))</f>
        <v>0.37</v>
      </c>
      <c r="IOB73" s="49">
        <f t="shared" ref="IOB73:IPX73" si="202">INX73*INY73*INZ73</f>
        <v>50</v>
      </c>
      <c r="IOC73" s="57">
        <f t="shared" ref="IOC73:IPY73" si="203">IOA73*IOB73</f>
        <v>18.5</v>
      </c>
      <c r="IOD73" s="59" t="s">
        <v>44</v>
      </c>
      <c r="IOE73" s="49" t="s">
        <v>44</v>
      </c>
      <c r="IOF73" s="51">
        <v>45117</v>
      </c>
      <c r="IOG73" s="49"/>
      <c r="IOH73" s="49" t="s">
        <v>43</v>
      </c>
      <c r="IOI73" s="49" t="s">
        <v>45</v>
      </c>
      <c r="IOJ73" s="49" t="s">
        <v>42</v>
      </c>
      <c r="IOK73" s="49" t="s">
        <v>0</v>
      </c>
      <c r="IOL73" s="49">
        <v>0</v>
      </c>
      <c r="IOM73" s="49">
        <v>1</v>
      </c>
      <c r="ION73" s="58">
        <v>2.5</v>
      </c>
      <c r="IOO73" s="58">
        <v>5</v>
      </c>
      <c r="IOP73" s="58">
        <v>4</v>
      </c>
      <c r="IOQ73" s="49">
        <f>INDEX($T$2:$T$11,MATCH(IOM73,$R$2:$R$11,0))</f>
        <v>0.37</v>
      </c>
      <c r="IOR73" s="49">
        <f t="shared" si="202"/>
        <v>50</v>
      </c>
      <c r="IOS73" s="57">
        <f t="shared" si="203"/>
        <v>18.5</v>
      </c>
      <c r="IOT73" s="59" t="s">
        <v>44</v>
      </c>
      <c r="IOU73" s="49" t="s">
        <v>44</v>
      </c>
      <c r="IOV73" s="51">
        <v>45117</v>
      </c>
      <c r="IOW73" s="49"/>
      <c r="IOX73" s="49" t="s">
        <v>43</v>
      </c>
      <c r="IOY73" s="49" t="s">
        <v>45</v>
      </c>
      <c r="IOZ73" s="49" t="s">
        <v>42</v>
      </c>
      <c r="IPA73" s="49" t="s">
        <v>0</v>
      </c>
      <c r="IPB73" s="49">
        <v>0</v>
      </c>
      <c r="IPC73" s="49">
        <v>1</v>
      </c>
      <c r="IPD73" s="58">
        <v>2.5</v>
      </c>
      <c r="IPE73" s="58">
        <v>5</v>
      </c>
      <c r="IPF73" s="58">
        <v>4</v>
      </c>
      <c r="IPG73" s="49">
        <f>INDEX($T$2:$T$11,MATCH(IPC73,$R$2:$R$11,0))</f>
        <v>0.37</v>
      </c>
      <c r="IPH73" s="49">
        <f t="shared" si="202"/>
        <v>50</v>
      </c>
      <c r="IPI73" s="57">
        <f t="shared" si="203"/>
        <v>18.5</v>
      </c>
      <c r="IPJ73" s="59" t="s">
        <v>44</v>
      </c>
      <c r="IPK73" s="49" t="s">
        <v>44</v>
      </c>
      <c r="IPL73" s="51">
        <v>45117</v>
      </c>
      <c r="IPM73" s="49"/>
      <c r="IPN73" s="49" t="s">
        <v>43</v>
      </c>
      <c r="IPO73" s="49" t="s">
        <v>45</v>
      </c>
      <c r="IPP73" s="49" t="s">
        <v>42</v>
      </c>
      <c r="IPQ73" s="49" t="s">
        <v>0</v>
      </c>
      <c r="IPR73" s="49">
        <v>0</v>
      </c>
      <c r="IPS73" s="49">
        <v>1</v>
      </c>
      <c r="IPT73" s="58">
        <v>2.5</v>
      </c>
      <c r="IPU73" s="58">
        <v>5</v>
      </c>
      <c r="IPV73" s="58">
        <v>4</v>
      </c>
      <c r="IPW73" s="49">
        <f>INDEX($T$2:$T$11,MATCH(IPS73,$R$2:$R$11,0))</f>
        <v>0.37</v>
      </c>
      <c r="IPX73" s="49">
        <f t="shared" si="202"/>
        <v>50</v>
      </c>
      <c r="IPY73" s="57">
        <f t="shared" si="203"/>
        <v>18.5</v>
      </c>
      <c r="IPZ73" s="59" t="s">
        <v>44</v>
      </c>
      <c r="IQA73" s="49" t="s">
        <v>44</v>
      </c>
      <c r="IQB73" s="51">
        <v>45117</v>
      </c>
      <c r="IQC73" s="49"/>
      <c r="IQD73" s="49" t="s">
        <v>43</v>
      </c>
      <c r="IQE73" s="49" t="s">
        <v>45</v>
      </c>
      <c r="IQF73" s="49" t="s">
        <v>42</v>
      </c>
      <c r="IQG73" s="49" t="s">
        <v>0</v>
      </c>
      <c r="IQH73" s="49">
        <v>0</v>
      </c>
      <c r="IQI73" s="49">
        <v>1</v>
      </c>
      <c r="IQJ73" s="58">
        <v>2.5</v>
      </c>
      <c r="IQK73" s="58">
        <v>5</v>
      </c>
      <c r="IQL73" s="58">
        <v>4</v>
      </c>
      <c r="IQM73" s="49">
        <f>INDEX($T$2:$T$11,MATCH(IQI73,$R$2:$R$11,0))</f>
        <v>0.37</v>
      </c>
      <c r="IQN73" s="49">
        <f t="shared" ref="IQN73:ISJ73" si="204">IQJ73*IQK73*IQL73</f>
        <v>50</v>
      </c>
      <c r="IQO73" s="57">
        <f t="shared" ref="IQO73:ISK73" si="205">IQM73*IQN73</f>
        <v>18.5</v>
      </c>
      <c r="IQP73" s="59" t="s">
        <v>44</v>
      </c>
      <c r="IQQ73" s="49" t="s">
        <v>44</v>
      </c>
      <c r="IQR73" s="51">
        <v>45117</v>
      </c>
      <c r="IQS73" s="49"/>
      <c r="IQT73" s="49" t="s">
        <v>43</v>
      </c>
      <c r="IQU73" s="49" t="s">
        <v>45</v>
      </c>
      <c r="IQV73" s="49" t="s">
        <v>42</v>
      </c>
      <c r="IQW73" s="49" t="s">
        <v>0</v>
      </c>
      <c r="IQX73" s="49">
        <v>0</v>
      </c>
      <c r="IQY73" s="49">
        <v>1</v>
      </c>
      <c r="IQZ73" s="58">
        <v>2.5</v>
      </c>
      <c r="IRA73" s="58">
        <v>5</v>
      </c>
      <c r="IRB73" s="58">
        <v>4</v>
      </c>
      <c r="IRC73" s="49">
        <f>INDEX($T$2:$T$11,MATCH(IQY73,$R$2:$R$11,0))</f>
        <v>0.37</v>
      </c>
      <c r="IRD73" s="49">
        <f t="shared" si="204"/>
        <v>50</v>
      </c>
      <c r="IRE73" s="57">
        <f t="shared" si="205"/>
        <v>18.5</v>
      </c>
      <c r="IRF73" s="59" t="s">
        <v>44</v>
      </c>
      <c r="IRG73" s="49" t="s">
        <v>44</v>
      </c>
      <c r="IRH73" s="51">
        <v>45117</v>
      </c>
      <c r="IRI73" s="49"/>
      <c r="IRJ73" s="49" t="s">
        <v>43</v>
      </c>
      <c r="IRK73" s="49" t="s">
        <v>45</v>
      </c>
      <c r="IRL73" s="49" t="s">
        <v>42</v>
      </c>
      <c r="IRM73" s="49" t="s">
        <v>0</v>
      </c>
      <c r="IRN73" s="49">
        <v>0</v>
      </c>
      <c r="IRO73" s="49">
        <v>1</v>
      </c>
      <c r="IRP73" s="58">
        <v>2.5</v>
      </c>
      <c r="IRQ73" s="58">
        <v>5</v>
      </c>
      <c r="IRR73" s="58">
        <v>4</v>
      </c>
      <c r="IRS73" s="49">
        <f>INDEX($T$2:$T$11,MATCH(IRO73,$R$2:$R$11,0))</f>
        <v>0.37</v>
      </c>
      <c r="IRT73" s="49">
        <f t="shared" si="204"/>
        <v>50</v>
      </c>
      <c r="IRU73" s="57">
        <f t="shared" si="205"/>
        <v>18.5</v>
      </c>
      <c r="IRV73" s="59" t="s">
        <v>44</v>
      </c>
      <c r="IRW73" s="49" t="s">
        <v>44</v>
      </c>
      <c r="IRX73" s="51">
        <v>45117</v>
      </c>
      <c r="IRY73" s="49"/>
      <c r="IRZ73" s="49" t="s">
        <v>43</v>
      </c>
      <c r="ISA73" s="49" t="s">
        <v>45</v>
      </c>
      <c r="ISB73" s="49" t="s">
        <v>42</v>
      </c>
      <c r="ISC73" s="49" t="s">
        <v>0</v>
      </c>
      <c r="ISD73" s="49">
        <v>0</v>
      </c>
      <c r="ISE73" s="49">
        <v>1</v>
      </c>
      <c r="ISF73" s="58">
        <v>2.5</v>
      </c>
      <c r="ISG73" s="58">
        <v>5</v>
      </c>
      <c r="ISH73" s="58">
        <v>4</v>
      </c>
      <c r="ISI73" s="49">
        <f>INDEX($T$2:$T$11,MATCH(ISE73,$R$2:$R$11,0))</f>
        <v>0.37</v>
      </c>
      <c r="ISJ73" s="49">
        <f t="shared" si="204"/>
        <v>50</v>
      </c>
      <c r="ISK73" s="57">
        <f t="shared" si="205"/>
        <v>18.5</v>
      </c>
      <c r="ISL73" s="59" t="s">
        <v>44</v>
      </c>
      <c r="ISM73" s="49" t="s">
        <v>44</v>
      </c>
      <c r="ISN73" s="51">
        <v>45117</v>
      </c>
      <c r="ISO73" s="49"/>
      <c r="ISP73" s="49" t="s">
        <v>43</v>
      </c>
      <c r="ISQ73" s="49" t="s">
        <v>45</v>
      </c>
      <c r="ISR73" s="49" t="s">
        <v>42</v>
      </c>
      <c r="ISS73" s="49" t="s">
        <v>0</v>
      </c>
      <c r="IST73" s="49">
        <v>0</v>
      </c>
      <c r="ISU73" s="49">
        <v>1</v>
      </c>
      <c r="ISV73" s="58">
        <v>2.5</v>
      </c>
      <c r="ISW73" s="58">
        <v>5</v>
      </c>
      <c r="ISX73" s="58">
        <v>4</v>
      </c>
      <c r="ISY73" s="49">
        <f>INDEX($T$2:$T$11,MATCH(ISU73,$R$2:$R$11,0))</f>
        <v>0.37</v>
      </c>
      <c r="ISZ73" s="49">
        <f t="shared" ref="ISZ73:IUV73" si="206">ISV73*ISW73*ISX73</f>
        <v>50</v>
      </c>
      <c r="ITA73" s="57">
        <f t="shared" ref="ITA73:IUW73" si="207">ISY73*ISZ73</f>
        <v>18.5</v>
      </c>
      <c r="ITB73" s="59" t="s">
        <v>44</v>
      </c>
      <c r="ITC73" s="49" t="s">
        <v>44</v>
      </c>
      <c r="ITD73" s="51">
        <v>45117</v>
      </c>
      <c r="ITE73" s="49"/>
      <c r="ITF73" s="49" t="s">
        <v>43</v>
      </c>
      <c r="ITG73" s="49" t="s">
        <v>45</v>
      </c>
      <c r="ITH73" s="49" t="s">
        <v>42</v>
      </c>
      <c r="ITI73" s="49" t="s">
        <v>0</v>
      </c>
      <c r="ITJ73" s="49">
        <v>0</v>
      </c>
      <c r="ITK73" s="49">
        <v>1</v>
      </c>
      <c r="ITL73" s="58">
        <v>2.5</v>
      </c>
      <c r="ITM73" s="58">
        <v>5</v>
      </c>
      <c r="ITN73" s="58">
        <v>4</v>
      </c>
      <c r="ITO73" s="49">
        <f>INDEX($T$2:$T$11,MATCH(ITK73,$R$2:$R$11,0))</f>
        <v>0.37</v>
      </c>
      <c r="ITP73" s="49">
        <f t="shared" si="206"/>
        <v>50</v>
      </c>
      <c r="ITQ73" s="57">
        <f t="shared" si="207"/>
        <v>18.5</v>
      </c>
      <c r="ITR73" s="59" t="s">
        <v>44</v>
      </c>
      <c r="ITS73" s="49" t="s">
        <v>44</v>
      </c>
      <c r="ITT73" s="51">
        <v>45117</v>
      </c>
      <c r="ITU73" s="49"/>
      <c r="ITV73" s="49" t="s">
        <v>43</v>
      </c>
      <c r="ITW73" s="49" t="s">
        <v>45</v>
      </c>
      <c r="ITX73" s="49" t="s">
        <v>42</v>
      </c>
      <c r="ITY73" s="49" t="s">
        <v>0</v>
      </c>
      <c r="ITZ73" s="49">
        <v>0</v>
      </c>
      <c r="IUA73" s="49">
        <v>1</v>
      </c>
      <c r="IUB73" s="58">
        <v>2.5</v>
      </c>
      <c r="IUC73" s="58">
        <v>5</v>
      </c>
      <c r="IUD73" s="58">
        <v>4</v>
      </c>
      <c r="IUE73" s="49">
        <f>INDEX($T$2:$T$11,MATCH(IUA73,$R$2:$R$11,0))</f>
        <v>0.37</v>
      </c>
      <c r="IUF73" s="49">
        <f t="shared" si="206"/>
        <v>50</v>
      </c>
      <c r="IUG73" s="57">
        <f t="shared" si="207"/>
        <v>18.5</v>
      </c>
      <c r="IUH73" s="59" t="s">
        <v>44</v>
      </c>
      <c r="IUI73" s="49" t="s">
        <v>44</v>
      </c>
      <c r="IUJ73" s="51">
        <v>45117</v>
      </c>
      <c r="IUK73" s="49"/>
      <c r="IUL73" s="49" t="s">
        <v>43</v>
      </c>
      <c r="IUM73" s="49" t="s">
        <v>45</v>
      </c>
      <c r="IUN73" s="49" t="s">
        <v>42</v>
      </c>
      <c r="IUO73" s="49" t="s">
        <v>0</v>
      </c>
      <c r="IUP73" s="49">
        <v>0</v>
      </c>
      <c r="IUQ73" s="49">
        <v>1</v>
      </c>
      <c r="IUR73" s="58">
        <v>2.5</v>
      </c>
      <c r="IUS73" s="58">
        <v>5</v>
      </c>
      <c r="IUT73" s="58">
        <v>4</v>
      </c>
      <c r="IUU73" s="49">
        <f>INDEX($T$2:$T$11,MATCH(IUQ73,$R$2:$R$11,0))</f>
        <v>0.37</v>
      </c>
      <c r="IUV73" s="49">
        <f t="shared" si="206"/>
        <v>50</v>
      </c>
      <c r="IUW73" s="57">
        <f t="shared" si="207"/>
        <v>18.5</v>
      </c>
      <c r="IUX73" s="59" t="s">
        <v>44</v>
      </c>
      <c r="IUY73" s="49" t="s">
        <v>44</v>
      </c>
      <c r="IUZ73" s="51">
        <v>45117</v>
      </c>
      <c r="IVA73" s="49"/>
      <c r="IVB73" s="49" t="s">
        <v>43</v>
      </c>
      <c r="IVC73" s="49" t="s">
        <v>45</v>
      </c>
      <c r="IVD73" s="49" t="s">
        <v>42</v>
      </c>
      <c r="IVE73" s="49" t="s">
        <v>0</v>
      </c>
      <c r="IVF73" s="49">
        <v>0</v>
      </c>
      <c r="IVG73" s="49">
        <v>1</v>
      </c>
      <c r="IVH73" s="58">
        <v>2.5</v>
      </c>
      <c r="IVI73" s="58">
        <v>5</v>
      </c>
      <c r="IVJ73" s="58">
        <v>4</v>
      </c>
      <c r="IVK73" s="49">
        <f>INDEX($T$2:$T$11,MATCH(IVG73,$R$2:$R$11,0))</f>
        <v>0.37</v>
      </c>
      <c r="IVL73" s="49">
        <f t="shared" ref="IVL73:IXH73" si="208">IVH73*IVI73*IVJ73</f>
        <v>50</v>
      </c>
      <c r="IVM73" s="57">
        <f t="shared" ref="IVM73:IXI73" si="209">IVK73*IVL73</f>
        <v>18.5</v>
      </c>
      <c r="IVN73" s="59" t="s">
        <v>44</v>
      </c>
      <c r="IVO73" s="49" t="s">
        <v>44</v>
      </c>
      <c r="IVP73" s="51">
        <v>45117</v>
      </c>
      <c r="IVQ73" s="49"/>
      <c r="IVR73" s="49" t="s">
        <v>43</v>
      </c>
      <c r="IVS73" s="49" t="s">
        <v>45</v>
      </c>
      <c r="IVT73" s="49" t="s">
        <v>42</v>
      </c>
      <c r="IVU73" s="49" t="s">
        <v>0</v>
      </c>
      <c r="IVV73" s="49">
        <v>0</v>
      </c>
      <c r="IVW73" s="49">
        <v>1</v>
      </c>
      <c r="IVX73" s="58">
        <v>2.5</v>
      </c>
      <c r="IVY73" s="58">
        <v>5</v>
      </c>
      <c r="IVZ73" s="58">
        <v>4</v>
      </c>
      <c r="IWA73" s="49">
        <f>INDEX($T$2:$T$11,MATCH(IVW73,$R$2:$R$11,0))</f>
        <v>0.37</v>
      </c>
      <c r="IWB73" s="49">
        <f t="shared" si="208"/>
        <v>50</v>
      </c>
      <c r="IWC73" s="57">
        <f t="shared" si="209"/>
        <v>18.5</v>
      </c>
      <c r="IWD73" s="59" t="s">
        <v>44</v>
      </c>
      <c r="IWE73" s="49" t="s">
        <v>44</v>
      </c>
      <c r="IWF73" s="51">
        <v>45117</v>
      </c>
      <c r="IWG73" s="49"/>
      <c r="IWH73" s="49" t="s">
        <v>43</v>
      </c>
      <c r="IWI73" s="49" t="s">
        <v>45</v>
      </c>
      <c r="IWJ73" s="49" t="s">
        <v>42</v>
      </c>
      <c r="IWK73" s="49" t="s">
        <v>0</v>
      </c>
      <c r="IWL73" s="49">
        <v>0</v>
      </c>
      <c r="IWM73" s="49">
        <v>1</v>
      </c>
      <c r="IWN73" s="58">
        <v>2.5</v>
      </c>
      <c r="IWO73" s="58">
        <v>5</v>
      </c>
      <c r="IWP73" s="58">
        <v>4</v>
      </c>
      <c r="IWQ73" s="49">
        <f>INDEX($T$2:$T$11,MATCH(IWM73,$R$2:$R$11,0))</f>
        <v>0.37</v>
      </c>
      <c r="IWR73" s="49">
        <f t="shared" si="208"/>
        <v>50</v>
      </c>
      <c r="IWS73" s="57">
        <f t="shared" si="209"/>
        <v>18.5</v>
      </c>
      <c r="IWT73" s="59" t="s">
        <v>44</v>
      </c>
      <c r="IWU73" s="49" t="s">
        <v>44</v>
      </c>
      <c r="IWV73" s="51">
        <v>45117</v>
      </c>
      <c r="IWW73" s="49"/>
      <c r="IWX73" s="49" t="s">
        <v>43</v>
      </c>
      <c r="IWY73" s="49" t="s">
        <v>45</v>
      </c>
      <c r="IWZ73" s="49" t="s">
        <v>42</v>
      </c>
      <c r="IXA73" s="49" t="s">
        <v>0</v>
      </c>
      <c r="IXB73" s="49">
        <v>0</v>
      </c>
      <c r="IXC73" s="49">
        <v>1</v>
      </c>
      <c r="IXD73" s="58">
        <v>2.5</v>
      </c>
      <c r="IXE73" s="58">
        <v>5</v>
      </c>
      <c r="IXF73" s="58">
        <v>4</v>
      </c>
      <c r="IXG73" s="49">
        <f>INDEX($T$2:$T$11,MATCH(IXC73,$R$2:$R$11,0))</f>
        <v>0.37</v>
      </c>
      <c r="IXH73" s="49">
        <f t="shared" si="208"/>
        <v>50</v>
      </c>
      <c r="IXI73" s="57">
        <f t="shared" si="209"/>
        <v>18.5</v>
      </c>
      <c r="IXJ73" s="59" t="s">
        <v>44</v>
      </c>
      <c r="IXK73" s="49" t="s">
        <v>44</v>
      </c>
      <c r="IXL73" s="51">
        <v>45117</v>
      </c>
      <c r="IXM73" s="49"/>
      <c r="IXN73" s="49" t="s">
        <v>43</v>
      </c>
      <c r="IXO73" s="49" t="s">
        <v>45</v>
      </c>
      <c r="IXP73" s="49" t="s">
        <v>42</v>
      </c>
      <c r="IXQ73" s="49" t="s">
        <v>0</v>
      </c>
      <c r="IXR73" s="49">
        <v>0</v>
      </c>
      <c r="IXS73" s="49">
        <v>1</v>
      </c>
      <c r="IXT73" s="58">
        <v>2.5</v>
      </c>
      <c r="IXU73" s="58">
        <v>5</v>
      </c>
      <c r="IXV73" s="58">
        <v>4</v>
      </c>
      <c r="IXW73" s="49">
        <f>INDEX($T$2:$T$11,MATCH(IXS73,$R$2:$R$11,0))</f>
        <v>0.37</v>
      </c>
      <c r="IXX73" s="49">
        <f t="shared" ref="IXX73:IZT73" si="210">IXT73*IXU73*IXV73</f>
        <v>50</v>
      </c>
      <c r="IXY73" s="57">
        <f t="shared" ref="IXY73:IZU73" si="211">IXW73*IXX73</f>
        <v>18.5</v>
      </c>
      <c r="IXZ73" s="59" t="s">
        <v>44</v>
      </c>
      <c r="IYA73" s="49" t="s">
        <v>44</v>
      </c>
      <c r="IYB73" s="51">
        <v>45117</v>
      </c>
      <c r="IYC73" s="49"/>
      <c r="IYD73" s="49" t="s">
        <v>43</v>
      </c>
      <c r="IYE73" s="49" t="s">
        <v>45</v>
      </c>
      <c r="IYF73" s="49" t="s">
        <v>42</v>
      </c>
      <c r="IYG73" s="49" t="s">
        <v>0</v>
      </c>
      <c r="IYH73" s="49">
        <v>0</v>
      </c>
      <c r="IYI73" s="49">
        <v>1</v>
      </c>
      <c r="IYJ73" s="58">
        <v>2.5</v>
      </c>
      <c r="IYK73" s="58">
        <v>5</v>
      </c>
      <c r="IYL73" s="58">
        <v>4</v>
      </c>
      <c r="IYM73" s="49">
        <f>INDEX($T$2:$T$11,MATCH(IYI73,$R$2:$R$11,0))</f>
        <v>0.37</v>
      </c>
      <c r="IYN73" s="49">
        <f t="shared" si="210"/>
        <v>50</v>
      </c>
      <c r="IYO73" s="57">
        <f t="shared" si="211"/>
        <v>18.5</v>
      </c>
      <c r="IYP73" s="59" t="s">
        <v>44</v>
      </c>
      <c r="IYQ73" s="49" t="s">
        <v>44</v>
      </c>
      <c r="IYR73" s="51">
        <v>45117</v>
      </c>
      <c r="IYS73" s="49"/>
      <c r="IYT73" s="49" t="s">
        <v>43</v>
      </c>
      <c r="IYU73" s="49" t="s">
        <v>45</v>
      </c>
      <c r="IYV73" s="49" t="s">
        <v>42</v>
      </c>
      <c r="IYW73" s="49" t="s">
        <v>0</v>
      </c>
      <c r="IYX73" s="49">
        <v>0</v>
      </c>
      <c r="IYY73" s="49">
        <v>1</v>
      </c>
      <c r="IYZ73" s="58">
        <v>2.5</v>
      </c>
      <c r="IZA73" s="58">
        <v>5</v>
      </c>
      <c r="IZB73" s="58">
        <v>4</v>
      </c>
      <c r="IZC73" s="49">
        <f>INDEX($T$2:$T$11,MATCH(IYY73,$R$2:$R$11,0))</f>
        <v>0.37</v>
      </c>
      <c r="IZD73" s="49">
        <f t="shared" si="210"/>
        <v>50</v>
      </c>
      <c r="IZE73" s="57">
        <f t="shared" si="211"/>
        <v>18.5</v>
      </c>
      <c r="IZF73" s="59" t="s">
        <v>44</v>
      </c>
      <c r="IZG73" s="49" t="s">
        <v>44</v>
      </c>
      <c r="IZH73" s="51">
        <v>45117</v>
      </c>
      <c r="IZI73" s="49"/>
      <c r="IZJ73" s="49" t="s">
        <v>43</v>
      </c>
      <c r="IZK73" s="49" t="s">
        <v>45</v>
      </c>
      <c r="IZL73" s="49" t="s">
        <v>42</v>
      </c>
      <c r="IZM73" s="49" t="s">
        <v>0</v>
      </c>
      <c r="IZN73" s="49">
        <v>0</v>
      </c>
      <c r="IZO73" s="49">
        <v>1</v>
      </c>
      <c r="IZP73" s="58">
        <v>2.5</v>
      </c>
      <c r="IZQ73" s="58">
        <v>5</v>
      </c>
      <c r="IZR73" s="58">
        <v>4</v>
      </c>
      <c r="IZS73" s="49">
        <f>INDEX($T$2:$T$11,MATCH(IZO73,$R$2:$R$11,0))</f>
        <v>0.37</v>
      </c>
      <c r="IZT73" s="49">
        <f t="shared" si="210"/>
        <v>50</v>
      </c>
      <c r="IZU73" s="57">
        <f t="shared" si="211"/>
        <v>18.5</v>
      </c>
      <c r="IZV73" s="59" t="s">
        <v>44</v>
      </c>
      <c r="IZW73" s="49" t="s">
        <v>44</v>
      </c>
      <c r="IZX73" s="51">
        <v>45117</v>
      </c>
      <c r="IZY73" s="49"/>
      <c r="IZZ73" s="49" t="s">
        <v>43</v>
      </c>
      <c r="JAA73" s="49" t="s">
        <v>45</v>
      </c>
      <c r="JAB73" s="49" t="s">
        <v>42</v>
      </c>
      <c r="JAC73" s="49" t="s">
        <v>0</v>
      </c>
      <c r="JAD73" s="49">
        <v>0</v>
      </c>
      <c r="JAE73" s="49">
        <v>1</v>
      </c>
      <c r="JAF73" s="58">
        <v>2.5</v>
      </c>
      <c r="JAG73" s="58">
        <v>5</v>
      </c>
      <c r="JAH73" s="58">
        <v>4</v>
      </c>
      <c r="JAI73" s="49">
        <f>INDEX($T$2:$T$11,MATCH(JAE73,$R$2:$R$11,0))</f>
        <v>0.37</v>
      </c>
      <c r="JAJ73" s="49">
        <f t="shared" ref="JAJ73:JCF73" si="212">JAF73*JAG73*JAH73</f>
        <v>50</v>
      </c>
      <c r="JAK73" s="57">
        <f t="shared" ref="JAK73:JCG73" si="213">JAI73*JAJ73</f>
        <v>18.5</v>
      </c>
      <c r="JAL73" s="59" t="s">
        <v>44</v>
      </c>
      <c r="JAM73" s="49" t="s">
        <v>44</v>
      </c>
      <c r="JAN73" s="51">
        <v>45117</v>
      </c>
      <c r="JAO73" s="49"/>
      <c r="JAP73" s="49" t="s">
        <v>43</v>
      </c>
      <c r="JAQ73" s="49" t="s">
        <v>45</v>
      </c>
      <c r="JAR73" s="49" t="s">
        <v>42</v>
      </c>
      <c r="JAS73" s="49" t="s">
        <v>0</v>
      </c>
      <c r="JAT73" s="49">
        <v>0</v>
      </c>
      <c r="JAU73" s="49">
        <v>1</v>
      </c>
      <c r="JAV73" s="58">
        <v>2.5</v>
      </c>
      <c r="JAW73" s="58">
        <v>5</v>
      </c>
      <c r="JAX73" s="58">
        <v>4</v>
      </c>
      <c r="JAY73" s="49">
        <f>INDEX($T$2:$T$11,MATCH(JAU73,$R$2:$R$11,0))</f>
        <v>0.37</v>
      </c>
      <c r="JAZ73" s="49">
        <f t="shared" si="212"/>
        <v>50</v>
      </c>
      <c r="JBA73" s="57">
        <f t="shared" si="213"/>
        <v>18.5</v>
      </c>
      <c r="JBB73" s="59" t="s">
        <v>44</v>
      </c>
      <c r="JBC73" s="49" t="s">
        <v>44</v>
      </c>
      <c r="JBD73" s="51">
        <v>45117</v>
      </c>
      <c r="JBE73" s="49"/>
      <c r="JBF73" s="49" t="s">
        <v>43</v>
      </c>
      <c r="JBG73" s="49" t="s">
        <v>45</v>
      </c>
      <c r="JBH73" s="49" t="s">
        <v>42</v>
      </c>
      <c r="JBI73" s="49" t="s">
        <v>0</v>
      </c>
      <c r="JBJ73" s="49">
        <v>0</v>
      </c>
      <c r="JBK73" s="49">
        <v>1</v>
      </c>
      <c r="JBL73" s="58">
        <v>2.5</v>
      </c>
      <c r="JBM73" s="58">
        <v>5</v>
      </c>
      <c r="JBN73" s="58">
        <v>4</v>
      </c>
      <c r="JBO73" s="49">
        <f>INDEX($T$2:$T$11,MATCH(JBK73,$R$2:$R$11,0))</f>
        <v>0.37</v>
      </c>
      <c r="JBP73" s="49">
        <f t="shared" si="212"/>
        <v>50</v>
      </c>
      <c r="JBQ73" s="57">
        <f t="shared" si="213"/>
        <v>18.5</v>
      </c>
      <c r="JBR73" s="59" t="s">
        <v>44</v>
      </c>
      <c r="JBS73" s="49" t="s">
        <v>44</v>
      </c>
      <c r="JBT73" s="51">
        <v>45117</v>
      </c>
      <c r="JBU73" s="49"/>
      <c r="JBV73" s="49" t="s">
        <v>43</v>
      </c>
      <c r="JBW73" s="49" t="s">
        <v>45</v>
      </c>
      <c r="JBX73" s="49" t="s">
        <v>42</v>
      </c>
      <c r="JBY73" s="49" t="s">
        <v>0</v>
      </c>
      <c r="JBZ73" s="49">
        <v>0</v>
      </c>
      <c r="JCA73" s="49">
        <v>1</v>
      </c>
      <c r="JCB73" s="58">
        <v>2.5</v>
      </c>
      <c r="JCC73" s="58">
        <v>5</v>
      </c>
      <c r="JCD73" s="58">
        <v>4</v>
      </c>
      <c r="JCE73" s="49">
        <f>INDEX($T$2:$T$11,MATCH(JCA73,$R$2:$R$11,0))</f>
        <v>0.37</v>
      </c>
      <c r="JCF73" s="49">
        <f t="shared" si="212"/>
        <v>50</v>
      </c>
      <c r="JCG73" s="57">
        <f t="shared" si="213"/>
        <v>18.5</v>
      </c>
      <c r="JCH73" s="59" t="s">
        <v>44</v>
      </c>
      <c r="JCI73" s="49" t="s">
        <v>44</v>
      </c>
      <c r="JCJ73" s="51">
        <v>45117</v>
      </c>
      <c r="JCK73" s="49"/>
      <c r="JCL73" s="49" t="s">
        <v>43</v>
      </c>
      <c r="JCM73" s="49" t="s">
        <v>45</v>
      </c>
      <c r="JCN73" s="49" t="s">
        <v>42</v>
      </c>
      <c r="JCO73" s="49" t="s">
        <v>0</v>
      </c>
      <c r="JCP73" s="49">
        <v>0</v>
      </c>
      <c r="JCQ73" s="49">
        <v>1</v>
      </c>
      <c r="JCR73" s="58">
        <v>2.5</v>
      </c>
      <c r="JCS73" s="58">
        <v>5</v>
      </c>
      <c r="JCT73" s="58">
        <v>4</v>
      </c>
      <c r="JCU73" s="49">
        <f>INDEX($T$2:$T$11,MATCH(JCQ73,$R$2:$R$11,0))</f>
        <v>0.37</v>
      </c>
      <c r="JCV73" s="49">
        <f t="shared" ref="JCV73:JER73" si="214">JCR73*JCS73*JCT73</f>
        <v>50</v>
      </c>
      <c r="JCW73" s="57">
        <f t="shared" ref="JCW73:JES73" si="215">JCU73*JCV73</f>
        <v>18.5</v>
      </c>
      <c r="JCX73" s="59" t="s">
        <v>44</v>
      </c>
      <c r="JCY73" s="49" t="s">
        <v>44</v>
      </c>
      <c r="JCZ73" s="51">
        <v>45117</v>
      </c>
      <c r="JDA73" s="49"/>
      <c r="JDB73" s="49" t="s">
        <v>43</v>
      </c>
      <c r="JDC73" s="49" t="s">
        <v>45</v>
      </c>
      <c r="JDD73" s="49" t="s">
        <v>42</v>
      </c>
      <c r="JDE73" s="49" t="s">
        <v>0</v>
      </c>
      <c r="JDF73" s="49">
        <v>0</v>
      </c>
      <c r="JDG73" s="49">
        <v>1</v>
      </c>
      <c r="JDH73" s="58">
        <v>2.5</v>
      </c>
      <c r="JDI73" s="58">
        <v>5</v>
      </c>
      <c r="JDJ73" s="58">
        <v>4</v>
      </c>
      <c r="JDK73" s="49">
        <f>INDEX($T$2:$T$11,MATCH(JDG73,$R$2:$R$11,0))</f>
        <v>0.37</v>
      </c>
      <c r="JDL73" s="49">
        <f t="shared" si="214"/>
        <v>50</v>
      </c>
      <c r="JDM73" s="57">
        <f t="shared" si="215"/>
        <v>18.5</v>
      </c>
      <c r="JDN73" s="59" t="s">
        <v>44</v>
      </c>
      <c r="JDO73" s="49" t="s">
        <v>44</v>
      </c>
      <c r="JDP73" s="51">
        <v>45117</v>
      </c>
      <c r="JDQ73" s="49"/>
      <c r="JDR73" s="49" t="s">
        <v>43</v>
      </c>
      <c r="JDS73" s="49" t="s">
        <v>45</v>
      </c>
      <c r="JDT73" s="49" t="s">
        <v>42</v>
      </c>
      <c r="JDU73" s="49" t="s">
        <v>0</v>
      </c>
      <c r="JDV73" s="49">
        <v>0</v>
      </c>
      <c r="JDW73" s="49">
        <v>1</v>
      </c>
      <c r="JDX73" s="58">
        <v>2.5</v>
      </c>
      <c r="JDY73" s="58">
        <v>5</v>
      </c>
      <c r="JDZ73" s="58">
        <v>4</v>
      </c>
      <c r="JEA73" s="49">
        <f>INDEX($T$2:$T$11,MATCH(JDW73,$R$2:$R$11,0))</f>
        <v>0.37</v>
      </c>
      <c r="JEB73" s="49">
        <f t="shared" si="214"/>
        <v>50</v>
      </c>
      <c r="JEC73" s="57">
        <f t="shared" si="215"/>
        <v>18.5</v>
      </c>
      <c r="JED73" s="59" t="s">
        <v>44</v>
      </c>
      <c r="JEE73" s="49" t="s">
        <v>44</v>
      </c>
      <c r="JEF73" s="51">
        <v>45117</v>
      </c>
      <c r="JEG73" s="49"/>
      <c r="JEH73" s="49" t="s">
        <v>43</v>
      </c>
      <c r="JEI73" s="49" t="s">
        <v>45</v>
      </c>
      <c r="JEJ73" s="49" t="s">
        <v>42</v>
      </c>
      <c r="JEK73" s="49" t="s">
        <v>0</v>
      </c>
      <c r="JEL73" s="49">
        <v>0</v>
      </c>
      <c r="JEM73" s="49">
        <v>1</v>
      </c>
      <c r="JEN73" s="58">
        <v>2.5</v>
      </c>
      <c r="JEO73" s="58">
        <v>5</v>
      </c>
      <c r="JEP73" s="58">
        <v>4</v>
      </c>
      <c r="JEQ73" s="49">
        <f>INDEX($T$2:$T$11,MATCH(JEM73,$R$2:$R$11,0))</f>
        <v>0.37</v>
      </c>
      <c r="JER73" s="49">
        <f t="shared" si="214"/>
        <v>50</v>
      </c>
      <c r="JES73" s="57">
        <f t="shared" si="215"/>
        <v>18.5</v>
      </c>
      <c r="JET73" s="59" t="s">
        <v>44</v>
      </c>
      <c r="JEU73" s="49" t="s">
        <v>44</v>
      </c>
      <c r="JEV73" s="51">
        <v>45117</v>
      </c>
      <c r="JEW73" s="49"/>
      <c r="JEX73" s="49" t="s">
        <v>43</v>
      </c>
      <c r="JEY73" s="49" t="s">
        <v>45</v>
      </c>
      <c r="JEZ73" s="49" t="s">
        <v>42</v>
      </c>
      <c r="JFA73" s="49" t="s">
        <v>0</v>
      </c>
      <c r="JFB73" s="49">
        <v>0</v>
      </c>
      <c r="JFC73" s="49">
        <v>1</v>
      </c>
      <c r="JFD73" s="58">
        <v>2.5</v>
      </c>
      <c r="JFE73" s="58">
        <v>5</v>
      </c>
      <c r="JFF73" s="58">
        <v>4</v>
      </c>
      <c r="JFG73" s="49">
        <f>INDEX($T$2:$T$11,MATCH(JFC73,$R$2:$R$11,0))</f>
        <v>0.37</v>
      </c>
      <c r="JFH73" s="49">
        <f t="shared" ref="JFH73:JHD73" si="216">JFD73*JFE73*JFF73</f>
        <v>50</v>
      </c>
      <c r="JFI73" s="57">
        <f t="shared" ref="JFI73:JHE73" si="217">JFG73*JFH73</f>
        <v>18.5</v>
      </c>
      <c r="JFJ73" s="59" t="s">
        <v>44</v>
      </c>
      <c r="JFK73" s="49" t="s">
        <v>44</v>
      </c>
      <c r="JFL73" s="51">
        <v>45117</v>
      </c>
      <c r="JFM73" s="49"/>
      <c r="JFN73" s="49" t="s">
        <v>43</v>
      </c>
      <c r="JFO73" s="49" t="s">
        <v>45</v>
      </c>
      <c r="JFP73" s="49" t="s">
        <v>42</v>
      </c>
      <c r="JFQ73" s="49" t="s">
        <v>0</v>
      </c>
      <c r="JFR73" s="49">
        <v>0</v>
      </c>
      <c r="JFS73" s="49">
        <v>1</v>
      </c>
      <c r="JFT73" s="58">
        <v>2.5</v>
      </c>
      <c r="JFU73" s="58">
        <v>5</v>
      </c>
      <c r="JFV73" s="58">
        <v>4</v>
      </c>
      <c r="JFW73" s="49">
        <f>INDEX($T$2:$T$11,MATCH(JFS73,$R$2:$R$11,0))</f>
        <v>0.37</v>
      </c>
      <c r="JFX73" s="49">
        <f t="shared" si="216"/>
        <v>50</v>
      </c>
      <c r="JFY73" s="57">
        <f t="shared" si="217"/>
        <v>18.5</v>
      </c>
      <c r="JFZ73" s="59" t="s">
        <v>44</v>
      </c>
      <c r="JGA73" s="49" t="s">
        <v>44</v>
      </c>
      <c r="JGB73" s="51">
        <v>45117</v>
      </c>
      <c r="JGC73" s="49"/>
      <c r="JGD73" s="49" t="s">
        <v>43</v>
      </c>
      <c r="JGE73" s="49" t="s">
        <v>45</v>
      </c>
      <c r="JGF73" s="49" t="s">
        <v>42</v>
      </c>
      <c r="JGG73" s="49" t="s">
        <v>0</v>
      </c>
      <c r="JGH73" s="49">
        <v>0</v>
      </c>
      <c r="JGI73" s="49">
        <v>1</v>
      </c>
      <c r="JGJ73" s="58">
        <v>2.5</v>
      </c>
      <c r="JGK73" s="58">
        <v>5</v>
      </c>
      <c r="JGL73" s="58">
        <v>4</v>
      </c>
      <c r="JGM73" s="49">
        <f>INDEX($T$2:$T$11,MATCH(JGI73,$R$2:$R$11,0))</f>
        <v>0.37</v>
      </c>
      <c r="JGN73" s="49">
        <f t="shared" si="216"/>
        <v>50</v>
      </c>
      <c r="JGO73" s="57">
        <f t="shared" si="217"/>
        <v>18.5</v>
      </c>
      <c r="JGP73" s="59" t="s">
        <v>44</v>
      </c>
      <c r="JGQ73" s="49" t="s">
        <v>44</v>
      </c>
      <c r="JGR73" s="51">
        <v>45117</v>
      </c>
      <c r="JGS73" s="49"/>
      <c r="JGT73" s="49" t="s">
        <v>43</v>
      </c>
      <c r="JGU73" s="49" t="s">
        <v>45</v>
      </c>
      <c r="JGV73" s="49" t="s">
        <v>42</v>
      </c>
      <c r="JGW73" s="49" t="s">
        <v>0</v>
      </c>
      <c r="JGX73" s="49">
        <v>0</v>
      </c>
      <c r="JGY73" s="49">
        <v>1</v>
      </c>
      <c r="JGZ73" s="58">
        <v>2.5</v>
      </c>
      <c r="JHA73" s="58">
        <v>5</v>
      </c>
      <c r="JHB73" s="58">
        <v>4</v>
      </c>
      <c r="JHC73" s="49">
        <f>INDEX($T$2:$T$11,MATCH(JGY73,$R$2:$R$11,0))</f>
        <v>0.37</v>
      </c>
      <c r="JHD73" s="49">
        <f t="shared" si="216"/>
        <v>50</v>
      </c>
      <c r="JHE73" s="57">
        <f t="shared" si="217"/>
        <v>18.5</v>
      </c>
      <c r="JHF73" s="59" t="s">
        <v>44</v>
      </c>
      <c r="JHG73" s="49" t="s">
        <v>44</v>
      </c>
      <c r="JHH73" s="51">
        <v>45117</v>
      </c>
      <c r="JHI73" s="49"/>
      <c r="JHJ73" s="49" t="s">
        <v>43</v>
      </c>
      <c r="JHK73" s="49" t="s">
        <v>45</v>
      </c>
      <c r="JHL73" s="49" t="s">
        <v>42</v>
      </c>
      <c r="JHM73" s="49" t="s">
        <v>0</v>
      </c>
      <c r="JHN73" s="49">
        <v>0</v>
      </c>
      <c r="JHO73" s="49">
        <v>1</v>
      </c>
      <c r="JHP73" s="58">
        <v>2.5</v>
      </c>
      <c r="JHQ73" s="58">
        <v>5</v>
      </c>
      <c r="JHR73" s="58">
        <v>4</v>
      </c>
      <c r="JHS73" s="49">
        <f>INDEX($T$2:$T$11,MATCH(JHO73,$R$2:$R$11,0))</f>
        <v>0.37</v>
      </c>
      <c r="JHT73" s="49">
        <f t="shared" ref="JHT73:JJP73" si="218">JHP73*JHQ73*JHR73</f>
        <v>50</v>
      </c>
      <c r="JHU73" s="57">
        <f t="shared" ref="JHU73:JJQ73" si="219">JHS73*JHT73</f>
        <v>18.5</v>
      </c>
      <c r="JHV73" s="59" t="s">
        <v>44</v>
      </c>
      <c r="JHW73" s="49" t="s">
        <v>44</v>
      </c>
      <c r="JHX73" s="51">
        <v>45117</v>
      </c>
      <c r="JHY73" s="49"/>
      <c r="JHZ73" s="49" t="s">
        <v>43</v>
      </c>
      <c r="JIA73" s="49" t="s">
        <v>45</v>
      </c>
      <c r="JIB73" s="49" t="s">
        <v>42</v>
      </c>
      <c r="JIC73" s="49" t="s">
        <v>0</v>
      </c>
      <c r="JID73" s="49">
        <v>0</v>
      </c>
      <c r="JIE73" s="49">
        <v>1</v>
      </c>
      <c r="JIF73" s="58">
        <v>2.5</v>
      </c>
      <c r="JIG73" s="58">
        <v>5</v>
      </c>
      <c r="JIH73" s="58">
        <v>4</v>
      </c>
      <c r="JII73" s="49">
        <f>INDEX($T$2:$T$11,MATCH(JIE73,$R$2:$R$11,0))</f>
        <v>0.37</v>
      </c>
      <c r="JIJ73" s="49">
        <f t="shared" si="218"/>
        <v>50</v>
      </c>
      <c r="JIK73" s="57">
        <f t="shared" si="219"/>
        <v>18.5</v>
      </c>
      <c r="JIL73" s="59" t="s">
        <v>44</v>
      </c>
      <c r="JIM73" s="49" t="s">
        <v>44</v>
      </c>
      <c r="JIN73" s="51">
        <v>45117</v>
      </c>
      <c r="JIO73" s="49"/>
      <c r="JIP73" s="49" t="s">
        <v>43</v>
      </c>
      <c r="JIQ73" s="49" t="s">
        <v>45</v>
      </c>
      <c r="JIR73" s="49" t="s">
        <v>42</v>
      </c>
      <c r="JIS73" s="49" t="s">
        <v>0</v>
      </c>
      <c r="JIT73" s="49">
        <v>0</v>
      </c>
      <c r="JIU73" s="49">
        <v>1</v>
      </c>
      <c r="JIV73" s="58">
        <v>2.5</v>
      </c>
      <c r="JIW73" s="58">
        <v>5</v>
      </c>
      <c r="JIX73" s="58">
        <v>4</v>
      </c>
      <c r="JIY73" s="49">
        <f>INDEX($T$2:$T$11,MATCH(JIU73,$R$2:$R$11,0))</f>
        <v>0.37</v>
      </c>
      <c r="JIZ73" s="49">
        <f t="shared" si="218"/>
        <v>50</v>
      </c>
      <c r="JJA73" s="57">
        <f t="shared" si="219"/>
        <v>18.5</v>
      </c>
      <c r="JJB73" s="59" t="s">
        <v>44</v>
      </c>
      <c r="JJC73" s="49" t="s">
        <v>44</v>
      </c>
      <c r="JJD73" s="51">
        <v>45117</v>
      </c>
      <c r="JJE73" s="49"/>
      <c r="JJF73" s="49" t="s">
        <v>43</v>
      </c>
      <c r="JJG73" s="49" t="s">
        <v>45</v>
      </c>
      <c r="JJH73" s="49" t="s">
        <v>42</v>
      </c>
      <c r="JJI73" s="49" t="s">
        <v>0</v>
      </c>
      <c r="JJJ73" s="49">
        <v>0</v>
      </c>
      <c r="JJK73" s="49">
        <v>1</v>
      </c>
      <c r="JJL73" s="58">
        <v>2.5</v>
      </c>
      <c r="JJM73" s="58">
        <v>5</v>
      </c>
      <c r="JJN73" s="58">
        <v>4</v>
      </c>
      <c r="JJO73" s="49">
        <f>INDEX($T$2:$T$11,MATCH(JJK73,$R$2:$R$11,0))</f>
        <v>0.37</v>
      </c>
      <c r="JJP73" s="49">
        <f t="shared" si="218"/>
        <v>50</v>
      </c>
      <c r="JJQ73" s="57">
        <f t="shared" si="219"/>
        <v>18.5</v>
      </c>
      <c r="JJR73" s="59" t="s">
        <v>44</v>
      </c>
      <c r="JJS73" s="49" t="s">
        <v>44</v>
      </c>
      <c r="JJT73" s="51">
        <v>45117</v>
      </c>
      <c r="JJU73" s="49"/>
      <c r="JJV73" s="49" t="s">
        <v>43</v>
      </c>
      <c r="JJW73" s="49" t="s">
        <v>45</v>
      </c>
      <c r="JJX73" s="49" t="s">
        <v>42</v>
      </c>
      <c r="JJY73" s="49" t="s">
        <v>0</v>
      </c>
      <c r="JJZ73" s="49">
        <v>0</v>
      </c>
      <c r="JKA73" s="49">
        <v>1</v>
      </c>
      <c r="JKB73" s="58">
        <v>2.5</v>
      </c>
      <c r="JKC73" s="58">
        <v>5</v>
      </c>
      <c r="JKD73" s="58">
        <v>4</v>
      </c>
      <c r="JKE73" s="49">
        <f>INDEX($T$2:$T$11,MATCH(JKA73,$R$2:$R$11,0))</f>
        <v>0.37</v>
      </c>
      <c r="JKF73" s="49">
        <f t="shared" ref="JKF73:JMB73" si="220">JKB73*JKC73*JKD73</f>
        <v>50</v>
      </c>
      <c r="JKG73" s="57">
        <f t="shared" ref="JKG73:JMC73" si="221">JKE73*JKF73</f>
        <v>18.5</v>
      </c>
      <c r="JKH73" s="59" t="s">
        <v>44</v>
      </c>
      <c r="JKI73" s="49" t="s">
        <v>44</v>
      </c>
      <c r="JKJ73" s="51">
        <v>45117</v>
      </c>
      <c r="JKK73" s="49"/>
      <c r="JKL73" s="49" t="s">
        <v>43</v>
      </c>
      <c r="JKM73" s="49" t="s">
        <v>45</v>
      </c>
      <c r="JKN73" s="49" t="s">
        <v>42</v>
      </c>
      <c r="JKO73" s="49" t="s">
        <v>0</v>
      </c>
      <c r="JKP73" s="49">
        <v>0</v>
      </c>
      <c r="JKQ73" s="49">
        <v>1</v>
      </c>
      <c r="JKR73" s="58">
        <v>2.5</v>
      </c>
      <c r="JKS73" s="58">
        <v>5</v>
      </c>
      <c r="JKT73" s="58">
        <v>4</v>
      </c>
      <c r="JKU73" s="49">
        <f>INDEX($T$2:$T$11,MATCH(JKQ73,$R$2:$R$11,0))</f>
        <v>0.37</v>
      </c>
      <c r="JKV73" s="49">
        <f t="shared" si="220"/>
        <v>50</v>
      </c>
      <c r="JKW73" s="57">
        <f t="shared" si="221"/>
        <v>18.5</v>
      </c>
      <c r="JKX73" s="59" t="s">
        <v>44</v>
      </c>
      <c r="JKY73" s="49" t="s">
        <v>44</v>
      </c>
      <c r="JKZ73" s="51">
        <v>45117</v>
      </c>
      <c r="JLA73" s="49"/>
      <c r="JLB73" s="49" t="s">
        <v>43</v>
      </c>
      <c r="JLC73" s="49" t="s">
        <v>45</v>
      </c>
      <c r="JLD73" s="49" t="s">
        <v>42</v>
      </c>
      <c r="JLE73" s="49" t="s">
        <v>0</v>
      </c>
      <c r="JLF73" s="49">
        <v>0</v>
      </c>
      <c r="JLG73" s="49">
        <v>1</v>
      </c>
      <c r="JLH73" s="58">
        <v>2.5</v>
      </c>
      <c r="JLI73" s="58">
        <v>5</v>
      </c>
      <c r="JLJ73" s="58">
        <v>4</v>
      </c>
      <c r="JLK73" s="49">
        <f>INDEX($T$2:$T$11,MATCH(JLG73,$R$2:$R$11,0))</f>
        <v>0.37</v>
      </c>
      <c r="JLL73" s="49">
        <f t="shared" si="220"/>
        <v>50</v>
      </c>
      <c r="JLM73" s="57">
        <f t="shared" si="221"/>
        <v>18.5</v>
      </c>
      <c r="JLN73" s="59" t="s">
        <v>44</v>
      </c>
      <c r="JLO73" s="49" t="s">
        <v>44</v>
      </c>
      <c r="JLP73" s="51">
        <v>45117</v>
      </c>
      <c r="JLQ73" s="49"/>
      <c r="JLR73" s="49" t="s">
        <v>43</v>
      </c>
      <c r="JLS73" s="49" t="s">
        <v>45</v>
      </c>
      <c r="JLT73" s="49" t="s">
        <v>42</v>
      </c>
      <c r="JLU73" s="49" t="s">
        <v>0</v>
      </c>
      <c r="JLV73" s="49">
        <v>0</v>
      </c>
      <c r="JLW73" s="49">
        <v>1</v>
      </c>
      <c r="JLX73" s="58">
        <v>2.5</v>
      </c>
      <c r="JLY73" s="58">
        <v>5</v>
      </c>
      <c r="JLZ73" s="58">
        <v>4</v>
      </c>
      <c r="JMA73" s="49">
        <f>INDEX($T$2:$T$11,MATCH(JLW73,$R$2:$R$11,0))</f>
        <v>0.37</v>
      </c>
      <c r="JMB73" s="49">
        <f t="shared" si="220"/>
        <v>50</v>
      </c>
      <c r="JMC73" s="57">
        <f t="shared" si="221"/>
        <v>18.5</v>
      </c>
      <c r="JMD73" s="59" t="s">
        <v>44</v>
      </c>
      <c r="JME73" s="49" t="s">
        <v>44</v>
      </c>
      <c r="JMF73" s="51">
        <v>45117</v>
      </c>
      <c r="JMG73" s="49"/>
      <c r="JMH73" s="49" t="s">
        <v>43</v>
      </c>
      <c r="JMI73" s="49" t="s">
        <v>45</v>
      </c>
      <c r="JMJ73" s="49" t="s">
        <v>42</v>
      </c>
      <c r="JMK73" s="49" t="s">
        <v>0</v>
      </c>
      <c r="JML73" s="49">
        <v>0</v>
      </c>
      <c r="JMM73" s="49">
        <v>1</v>
      </c>
      <c r="JMN73" s="58">
        <v>2.5</v>
      </c>
      <c r="JMO73" s="58">
        <v>5</v>
      </c>
      <c r="JMP73" s="58">
        <v>4</v>
      </c>
      <c r="JMQ73" s="49">
        <f>INDEX($T$2:$T$11,MATCH(JMM73,$R$2:$R$11,0))</f>
        <v>0.37</v>
      </c>
      <c r="JMR73" s="49">
        <f t="shared" ref="JMR73:JON73" si="222">JMN73*JMO73*JMP73</f>
        <v>50</v>
      </c>
      <c r="JMS73" s="57">
        <f t="shared" ref="JMS73:JOO73" si="223">JMQ73*JMR73</f>
        <v>18.5</v>
      </c>
      <c r="JMT73" s="59" t="s">
        <v>44</v>
      </c>
      <c r="JMU73" s="49" t="s">
        <v>44</v>
      </c>
      <c r="JMV73" s="51">
        <v>45117</v>
      </c>
      <c r="JMW73" s="49"/>
      <c r="JMX73" s="49" t="s">
        <v>43</v>
      </c>
      <c r="JMY73" s="49" t="s">
        <v>45</v>
      </c>
      <c r="JMZ73" s="49" t="s">
        <v>42</v>
      </c>
      <c r="JNA73" s="49" t="s">
        <v>0</v>
      </c>
      <c r="JNB73" s="49">
        <v>0</v>
      </c>
      <c r="JNC73" s="49">
        <v>1</v>
      </c>
      <c r="JND73" s="58">
        <v>2.5</v>
      </c>
      <c r="JNE73" s="58">
        <v>5</v>
      </c>
      <c r="JNF73" s="58">
        <v>4</v>
      </c>
      <c r="JNG73" s="49">
        <f>INDEX($T$2:$T$11,MATCH(JNC73,$R$2:$R$11,0))</f>
        <v>0.37</v>
      </c>
      <c r="JNH73" s="49">
        <f t="shared" si="222"/>
        <v>50</v>
      </c>
      <c r="JNI73" s="57">
        <f t="shared" si="223"/>
        <v>18.5</v>
      </c>
      <c r="JNJ73" s="59" t="s">
        <v>44</v>
      </c>
      <c r="JNK73" s="49" t="s">
        <v>44</v>
      </c>
      <c r="JNL73" s="51">
        <v>45117</v>
      </c>
      <c r="JNM73" s="49"/>
      <c r="JNN73" s="49" t="s">
        <v>43</v>
      </c>
      <c r="JNO73" s="49" t="s">
        <v>45</v>
      </c>
      <c r="JNP73" s="49" t="s">
        <v>42</v>
      </c>
      <c r="JNQ73" s="49" t="s">
        <v>0</v>
      </c>
      <c r="JNR73" s="49">
        <v>0</v>
      </c>
      <c r="JNS73" s="49">
        <v>1</v>
      </c>
      <c r="JNT73" s="58">
        <v>2.5</v>
      </c>
      <c r="JNU73" s="58">
        <v>5</v>
      </c>
      <c r="JNV73" s="58">
        <v>4</v>
      </c>
      <c r="JNW73" s="49">
        <f>INDEX($T$2:$T$11,MATCH(JNS73,$R$2:$R$11,0))</f>
        <v>0.37</v>
      </c>
      <c r="JNX73" s="49">
        <f t="shared" si="222"/>
        <v>50</v>
      </c>
      <c r="JNY73" s="57">
        <f t="shared" si="223"/>
        <v>18.5</v>
      </c>
      <c r="JNZ73" s="59" t="s">
        <v>44</v>
      </c>
      <c r="JOA73" s="49" t="s">
        <v>44</v>
      </c>
      <c r="JOB73" s="51">
        <v>45117</v>
      </c>
      <c r="JOC73" s="49"/>
      <c r="JOD73" s="49" t="s">
        <v>43</v>
      </c>
      <c r="JOE73" s="49" t="s">
        <v>45</v>
      </c>
      <c r="JOF73" s="49" t="s">
        <v>42</v>
      </c>
      <c r="JOG73" s="49" t="s">
        <v>0</v>
      </c>
      <c r="JOH73" s="49">
        <v>0</v>
      </c>
      <c r="JOI73" s="49">
        <v>1</v>
      </c>
      <c r="JOJ73" s="58">
        <v>2.5</v>
      </c>
      <c r="JOK73" s="58">
        <v>5</v>
      </c>
      <c r="JOL73" s="58">
        <v>4</v>
      </c>
      <c r="JOM73" s="49">
        <f>INDEX($T$2:$T$11,MATCH(JOI73,$R$2:$R$11,0))</f>
        <v>0.37</v>
      </c>
      <c r="JON73" s="49">
        <f t="shared" si="222"/>
        <v>50</v>
      </c>
      <c r="JOO73" s="57">
        <f t="shared" si="223"/>
        <v>18.5</v>
      </c>
      <c r="JOP73" s="59" t="s">
        <v>44</v>
      </c>
      <c r="JOQ73" s="49" t="s">
        <v>44</v>
      </c>
      <c r="JOR73" s="51">
        <v>45117</v>
      </c>
      <c r="JOS73" s="49"/>
      <c r="JOT73" s="49" t="s">
        <v>43</v>
      </c>
      <c r="JOU73" s="49" t="s">
        <v>45</v>
      </c>
      <c r="JOV73" s="49" t="s">
        <v>42</v>
      </c>
      <c r="JOW73" s="49" t="s">
        <v>0</v>
      </c>
      <c r="JOX73" s="49">
        <v>0</v>
      </c>
      <c r="JOY73" s="49">
        <v>1</v>
      </c>
      <c r="JOZ73" s="58">
        <v>2.5</v>
      </c>
      <c r="JPA73" s="58">
        <v>5</v>
      </c>
      <c r="JPB73" s="58">
        <v>4</v>
      </c>
      <c r="JPC73" s="49">
        <f>INDEX($T$2:$T$11,MATCH(JOY73,$R$2:$R$11,0))</f>
        <v>0.37</v>
      </c>
      <c r="JPD73" s="49">
        <f t="shared" ref="JPD73:JQZ73" si="224">JOZ73*JPA73*JPB73</f>
        <v>50</v>
      </c>
      <c r="JPE73" s="57">
        <f t="shared" ref="JPE73:JRA73" si="225">JPC73*JPD73</f>
        <v>18.5</v>
      </c>
      <c r="JPF73" s="59" t="s">
        <v>44</v>
      </c>
      <c r="JPG73" s="49" t="s">
        <v>44</v>
      </c>
      <c r="JPH73" s="51">
        <v>45117</v>
      </c>
      <c r="JPI73" s="49"/>
      <c r="JPJ73" s="49" t="s">
        <v>43</v>
      </c>
      <c r="JPK73" s="49" t="s">
        <v>45</v>
      </c>
      <c r="JPL73" s="49" t="s">
        <v>42</v>
      </c>
      <c r="JPM73" s="49" t="s">
        <v>0</v>
      </c>
      <c r="JPN73" s="49">
        <v>0</v>
      </c>
      <c r="JPO73" s="49">
        <v>1</v>
      </c>
      <c r="JPP73" s="58">
        <v>2.5</v>
      </c>
      <c r="JPQ73" s="58">
        <v>5</v>
      </c>
      <c r="JPR73" s="58">
        <v>4</v>
      </c>
      <c r="JPS73" s="49">
        <f>INDEX($T$2:$T$11,MATCH(JPO73,$R$2:$R$11,0))</f>
        <v>0.37</v>
      </c>
      <c r="JPT73" s="49">
        <f t="shared" si="224"/>
        <v>50</v>
      </c>
      <c r="JPU73" s="57">
        <f t="shared" si="225"/>
        <v>18.5</v>
      </c>
      <c r="JPV73" s="59" t="s">
        <v>44</v>
      </c>
      <c r="JPW73" s="49" t="s">
        <v>44</v>
      </c>
      <c r="JPX73" s="51">
        <v>45117</v>
      </c>
      <c r="JPY73" s="49"/>
      <c r="JPZ73" s="49" t="s">
        <v>43</v>
      </c>
      <c r="JQA73" s="49" t="s">
        <v>45</v>
      </c>
      <c r="JQB73" s="49" t="s">
        <v>42</v>
      </c>
      <c r="JQC73" s="49" t="s">
        <v>0</v>
      </c>
      <c r="JQD73" s="49">
        <v>0</v>
      </c>
      <c r="JQE73" s="49">
        <v>1</v>
      </c>
      <c r="JQF73" s="58">
        <v>2.5</v>
      </c>
      <c r="JQG73" s="58">
        <v>5</v>
      </c>
      <c r="JQH73" s="58">
        <v>4</v>
      </c>
      <c r="JQI73" s="49">
        <f>INDEX($T$2:$T$11,MATCH(JQE73,$R$2:$R$11,0))</f>
        <v>0.37</v>
      </c>
      <c r="JQJ73" s="49">
        <f t="shared" si="224"/>
        <v>50</v>
      </c>
      <c r="JQK73" s="57">
        <f t="shared" si="225"/>
        <v>18.5</v>
      </c>
      <c r="JQL73" s="59" t="s">
        <v>44</v>
      </c>
      <c r="JQM73" s="49" t="s">
        <v>44</v>
      </c>
      <c r="JQN73" s="51">
        <v>45117</v>
      </c>
      <c r="JQO73" s="49"/>
      <c r="JQP73" s="49" t="s">
        <v>43</v>
      </c>
      <c r="JQQ73" s="49" t="s">
        <v>45</v>
      </c>
      <c r="JQR73" s="49" t="s">
        <v>42</v>
      </c>
      <c r="JQS73" s="49" t="s">
        <v>0</v>
      </c>
      <c r="JQT73" s="49">
        <v>0</v>
      </c>
      <c r="JQU73" s="49">
        <v>1</v>
      </c>
      <c r="JQV73" s="58">
        <v>2.5</v>
      </c>
      <c r="JQW73" s="58">
        <v>5</v>
      </c>
      <c r="JQX73" s="58">
        <v>4</v>
      </c>
      <c r="JQY73" s="49">
        <f>INDEX($T$2:$T$11,MATCH(JQU73,$R$2:$R$11,0))</f>
        <v>0.37</v>
      </c>
      <c r="JQZ73" s="49">
        <f t="shared" si="224"/>
        <v>50</v>
      </c>
      <c r="JRA73" s="57">
        <f t="shared" si="225"/>
        <v>18.5</v>
      </c>
      <c r="JRB73" s="59" t="s">
        <v>44</v>
      </c>
      <c r="JRC73" s="49" t="s">
        <v>44</v>
      </c>
      <c r="JRD73" s="51">
        <v>45117</v>
      </c>
      <c r="JRE73" s="49"/>
      <c r="JRF73" s="49" t="s">
        <v>43</v>
      </c>
      <c r="JRG73" s="49" t="s">
        <v>45</v>
      </c>
      <c r="JRH73" s="49" t="s">
        <v>42</v>
      </c>
      <c r="JRI73" s="49" t="s">
        <v>0</v>
      </c>
      <c r="JRJ73" s="49">
        <v>0</v>
      </c>
      <c r="JRK73" s="49">
        <v>1</v>
      </c>
      <c r="JRL73" s="58">
        <v>2.5</v>
      </c>
      <c r="JRM73" s="58">
        <v>5</v>
      </c>
      <c r="JRN73" s="58">
        <v>4</v>
      </c>
      <c r="JRO73" s="49">
        <f>INDEX($T$2:$T$11,MATCH(JRK73,$R$2:$R$11,0))</f>
        <v>0.37</v>
      </c>
      <c r="JRP73" s="49">
        <f t="shared" ref="JRP73:JTL73" si="226">JRL73*JRM73*JRN73</f>
        <v>50</v>
      </c>
      <c r="JRQ73" s="57">
        <f t="shared" ref="JRQ73:JTM73" si="227">JRO73*JRP73</f>
        <v>18.5</v>
      </c>
      <c r="JRR73" s="59" t="s">
        <v>44</v>
      </c>
      <c r="JRS73" s="49" t="s">
        <v>44</v>
      </c>
      <c r="JRT73" s="51">
        <v>45117</v>
      </c>
      <c r="JRU73" s="49"/>
      <c r="JRV73" s="49" t="s">
        <v>43</v>
      </c>
      <c r="JRW73" s="49" t="s">
        <v>45</v>
      </c>
      <c r="JRX73" s="49" t="s">
        <v>42</v>
      </c>
      <c r="JRY73" s="49" t="s">
        <v>0</v>
      </c>
      <c r="JRZ73" s="49">
        <v>0</v>
      </c>
      <c r="JSA73" s="49">
        <v>1</v>
      </c>
      <c r="JSB73" s="58">
        <v>2.5</v>
      </c>
      <c r="JSC73" s="58">
        <v>5</v>
      </c>
      <c r="JSD73" s="58">
        <v>4</v>
      </c>
      <c r="JSE73" s="49">
        <f>INDEX($T$2:$T$11,MATCH(JSA73,$R$2:$R$11,0))</f>
        <v>0.37</v>
      </c>
      <c r="JSF73" s="49">
        <f t="shared" si="226"/>
        <v>50</v>
      </c>
      <c r="JSG73" s="57">
        <f t="shared" si="227"/>
        <v>18.5</v>
      </c>
      <c r="JSH73" s="59" t="s">
        <v>44</v>
      </c>
      <c r="JSI73" s="49" t="s">
        <v>44</v>
      </c>
      <c r="JSJ73" s="51">
        <v>45117</v>
      </c>
      <c r="JSK73" s="49"/>
      <c r="JSL73" s="49" t="s">
        <v>43</v>
      </c>
      <c r="JSM73" s="49" t="s">
        <v>45</v>
      </c>
      <c r="JSN73" s="49" t="s">
        <v>42</v>
      </c>
      <c r="JSO73" s="49" t="s">
        <v>0</v>
      </c>
      <c r="JSP73" s="49">
        <v>0</v>
      </c>
      <c r="JSQ73" s="49">
        <v>1</v>
      </c>
      <c r="JSR73" s="58">
        <v>2.5</v>
      </c>
      <c r="JSS73" s="58">
        <v>5</v>
      </c>
      <c r="JST73" s="58">
        <v>4</v>
      </c>
      <c r="JSU73" s="49">
        <f>INDEX($T$2:$T$11,MATCH(JSQ73,$R$2:$R$11,0))</f>
        <v>0.37</v>
      </c>
      <c r="JSV73" s="49">
        <f t="shared" si="226"/>
        <v>50</v>
      </c>
      <c r="JSW73" s="57">
        <f t="shared" si="227"/>
        <v>18.5</v>
      </c>
      <c r="JSX73" s="59" t="s">
        <v>44</v>
      </c>
      <c r="JSY73" s="49" t="s">
        <v>44</v>
      </c>
      <c r="JSZ73" s="51">
        <v>45117</v>
      </c>
      <c r="JTA73" s="49"/>
      <c r="JTB73" s="49" t="s">
        <v>43</v>
      </c>
      <c r="JTC73" s="49" t="s">
        <v>45</v>
      </c>
      <c r="JTD73" s="49" t="s">
        <v>42</v>
      </c>
      <c r="JTE73" s="49" t="s">
        <v>0</v>
      </c>
      <c r="JTF73" s="49">
        <v>0</v>
      </c>
      <c r="JTG73" s="49">
        <v>1</v>
      </c>
      <c r="JTH73" s="58">
        <v>2.5</v>
      </c>
      <c r="JTI73" s="58">
        <v>5</v>
      </c>
      <c r="JTJ73" s="58">
        <v>4</v>
      </c>
      <c r="JTK73" s="49">
        <f>INDEX($T$2:$T$11,MATCH(JTG73,$R$2:$R$11,0))</f>
        <v>0.37</v>
      </c>
      <c r="JTL73" s="49">
        <f t="shared" si="226"/>
        <v>50</v>
      </c>
      <c r="JTM73" s="57">
        <f t="shared" si="227"/>
        <v>18.5</v>
      </c>
      <c r="JTN73" s="59" t="s">
        <v>44</v>
      </c>
      <c r="JTO73" s="49" t="s">
        <v>44</v>
      </c>
      <c r="JTP73" s="51">
        <v>45117</v>
      </c>
      <c r="JTQ73" s="49"/>
      <c r="JTR73" s="49" t="s">
        <v>43</v>
      </c>
      <c r="JTS73" s="49" t="s">
        <v>45</v>
      </c>
      <c r="JTT73" s="49" t="s">
        <v>42</v>
      </c>
      <c r="JTU73" s="49" t="s">
        <v>0</v>
      </c>
      <c r="JTV73" s="49">
        <v>0</v>
      </c>
      <c r="JTW73" s="49">
        <v>1</v>
      </c>
      <c r="JTX73" s="58">
        <v>2.5</v>
      </c>
      <c r="JTY73" s="58">
        <v>5</v>
      </c>
      <c r="JTZ73" s="58">
        <v>4</v>
      </c>
      <c r="JUA73" s="49">
        <f>INDEX($T$2:$T$11,MATCH(JTW73,$R$2:$R$11,0))</f>
        <v>0.37</v>
      </c>
      <c r="JUB73" s="49">
        <f t="shared" ref="JUB73:JVX73" si="228">JTX73*JTY73*JTZ73</f>
        <v>50</v>
      </c>
      <c r="JUC73" s="57">
        <f t="shared" ref="JUC73:JVY73" si="229">JUA73*JUB73</f>
        <v>18.5</v>
      </c>
      <c r="JUD73" s="59" t="s">
        <v>44</v>
      </c>
      <c r="JUE73" s="49" t="s">
        <v>44</v>
      </c>
      <c r="JUF73" s="51">
        <v>45117</v>
      </c>
      <c r="JUG73" s="49"/>
      <c r="JUH73" s="49" t="s">
        <v>43</v>
      </c>
      <c r="JUI73" s="49" t="s">
        <v>45</v>
      </c>
      <c r="JUJ73" s="49" t="s">
        <v>42</v>
      </c>
      <c r="JUK73" s="49" t="s">
        <v>0</v>
      </c>
      <c r="JUL73" s="49">
        <v>0</v>
      </c>
      <c r="JUM73" s="49">
        <v>1</v>
      </c>
      <c r="JUN73" s="58">
        <v>2.5</v>
      </c>
      <c r="JUO73" s="58">
        <v>5</v>
      </c>
      <c r="JUP73" s="58">
        <v>4</v>
      </c>
      <c r="JUQ73" s="49">
        <f>INDEX($T$2:$T$11,MATCH(JUM73,$R$2:$R$11,0))</f>
        <v>0.37</v>
      </c>
      <c r="JUR73" s="49">
        <f t="shared" si="228"/>
        <v>50</v>
      </c>
      <c r="JUS73" s="57">
        <f t="shared" si="229"/>
        <v>18.5</v>
      </c>
      <c r="JUT73" s="59" t="s">
        <v>44</v>
      </c>
      <c r="JUU73" s="49" t="s">
        <v>44</v>
      </c>
      <c r="JUV73" s="51">
        <v>45117</v>
      </c>
      <c r="JUW73" s="49"/>
      <c r="JUX73" s="49" t="s">
        <v>43</v>
      </c>
      <c r="JUY73" s="49" t="s">
        <v>45</v>
      </c>
      <c r="JUZ73" s="49" t="s">
        <v>42</v>
      </c>
      <c r="JVA73" s="49" t="s">
        <v>0</v>
      </c>
      <c r="JVB73" s="49">
        <v>0</v>
      </c>
      <c r="JVC73" s="49">
        <v>1</v>
      </c>
      <c r="JVD73" s="58">
        <v>2.5</v>
      </c>
      <c r="JVE73" s="58">
        <v>5</v>
      </c>
      <c r="JVF73" s="58">
        <v>4</v>
      </c>
      <c r="JVG73" s="49">
        <f>INDEX($T$2:$T$11,MATCH(JVC73,$R$2:$R$11,0))</f>
        <v>0.37</v>
      </c>
      <c r="JVH73" s="49">
        <f t="shared" si="228"/>
        <v>50</v>
      </c>
      <c r="JVI73" s="57">
        <f t="shared" si="229"/>
        <v>18.5</v>
      </c>
      <c r="JVJ73" s="59" t="s">
        <v>44</v>
      </c>
      <c r="JVK73" s="49" t="s">
        <v>44</v>
      </c>
      <c r="JVL73" s="51">
        <v>45117</v>
      </c>
      <c r="JVM73" s="49"/>
      <c r="JVN73" s="49" t="s">
        <v>43</v>
      </c>
      <c r="JVO73" s="49" t="s">
        <v>45</v>
      </c>
      <c r="JVP73" s="49" t="s">
        <v>42</v>
      </c>
      <c r="JVQ73" s="49" t="s">
        <v>0</v>
      </c>
      <c r="JVR73" s="49">
        <v>0</v>
      </c>
      <c r="JVS73" s="49">
        <v>1</v>
      </c>
      <c r="JVT73" s="58">
        <v>2.5</v>
      </c>
      <c r="JVU73" s="58">
        <v>5</v>
      </c>
      <c r="JVV73" s="58">
        <v>4</v>
      </c>
      <c r="JVW73" s="49">
        <f>INDEX($T$2:$T$11,MATCH(JVS73,$R$2:$R$11,0))</f>
        <v>0.37</v>
      </c>
      <c r="JVX73" s="49">
        <f t="shared" si="228"/>
        <v>50</v>
      </c>
      <c r="JVY73" s="57">
        <f t="shared" si="229"/>
        <v>18.5</v>
      </c>
      <c r="JVZ73" s="59" t="s">
        <v>44</v>
      </c>
      <c r="JWA73" s="49" t="s">
        <v>44</v>
      </c>
      <c r="JWB73" s="51">
        <v>45117</v>
      </c>
      <c r="JWC73" s="49"/>
      <c r="JWD73" s="49" t="s">
        <v>43</v>
      </c>
      <c r="JWE73" s="49" t="s">
        <v>45</v>
      </c>
      <c r="JWF73" s="49" t="s">
        <v>42</v>
      </c>
      <c r="JWG73" s="49" t="s">
        <v>0</v>
      </c>
      <c r="JWH73" s="49">
        <v>0</v>
      </c>
      <c r="JWI73" s="49">
        <v>1</v>
      </c>
      <c r="JWJ73" s="58">
        <v>2.5</v>
      </c>
      <c r="JWK73" s="58">
        <v>5</v>
      </c>
      <c r="JWL73" s="58">
        <v>4</v>
      </c>
      <c r="JWM73" s="49">
        <f>INDEX($T$2:$T$11,MATCH(JWI73,$R$2:$R$11,0))</f>
        <v>0.37</v>
      </c>
      <c r="JWN73" s="49">
        <f t="shared" ref="JWN73:JYJ73" si="230">JWJ73*JWK73*JWL73</f>
        <v>50</v>
      </c>
      <c r="JWO73" s="57">
        <f t="shared" ref="JWO73:JYK73" si="231">JWM73*JWN73</f>
        <v>18.5</v>
      </c>
      <c r="JWP73" s="59" t="s">
        <v>44</v>
      </c>
      <c r="JWQ73" s="49" t="s">
        <v>44</v>
      </c>
      <c r="JWR73" s="51">
        <v>45117</v>
      </c>
      <c r="JWS73" s="49"/>
      <c r="JWT73" s="49" t="s">
        <v>43</v>
      </c>
      <c r="JWU73" s="49" t="s">
        <v>45</v>
      </c>
      <c r="JWV73" s="49" t="s">
        <v>42</v>
      </c>
      <c r="JWW73" s="49" t="s">
        <v>0</v>
      </c>
      <c r="JWX73" s="49">
        <v>0</v>
      </c>
      <c r="JWY73" s="49">
        <v>1</v>
      </c>
      <c r="JWZ73" s="58">
        <v>2.5</v>
      </c>
      <c r="JXA73" s="58">
        <v>5</v>
      </c>
      <c r="JXB73" s="58">
        <v>4</v>
      </c>
      <c r="JXC73" s="49">
        <f>INDEX($T$2:$T$11,MATCH(JWY73,$R$2:$R$11,0))</f>
        <v>0.37</v>
      </c>
      <c r="JXD73" s="49">
        <f t="shared" si="230"/>
        <v>50</v>
      </c>
      <c r="JXE73" s="57">
        <f t="shared" si="231"/>
        <v>18.5</v>
      </c>
      <c r="JXF73" s="59" t="s">
        <v>44</v>
      </c>
      <c r="JXG73" s="49" t="s">
        <v>44</v>
      </c>
      <c r="JXH73" s="51">
        <v>45117</v>
      </c>
      <c r="JXI73" s="49"/>
      <c r="JXJ73" s="49" t="s">
        <v>43</v>
      </c>
      <c r="JXK73" s="49" t="s">
        <v>45</v>
      </c>
      <c r="JXL73" s="49" t="s">
        <v>42</v>
      </c>
      <c r="JXM73" s="49" t="s">
        <v>0</v>
      </c>
      <c r="JXN73" s="49">
        <v>0</v>
      </c>
      <c r="JXO73" s="49">
        <v>1</v>
      </c>
      <c r="JXP73" s="58">
        <v>2.5</v>
      </c>
      <c r="JXQ73" s="58">
        <v>5</v>
      </c>
      <c r="JXR73" s="58">
        <v>4</v>
      </c>
      <c r="JXS73" s="49">
        <f>INDEX($T$2:$T$11,MATCH(JXO73,$R$2:$R$11,0))</f>
        <v>0.37</v>
      </c>
      <c r="JXT73" s="49">
        <f t="shared" si="230"/>
        <v>50</v>
      </c>
      <c r="JXU73" s="57">
        <f t="shared" si="231"/>
        <v>18.5</v>
      </c>
      <c r="JXV73" s="59" t="s">
        <v>44</v>
      </c>
      <c r="JXW73" s="49" t="s">
        <v>44</v>
      </c>
      <c r="JXX73" s="51">
        <v>45117</v>
      </c>
      <c r="JXY73" s="49"/>
      <c r="JXZ73" s="49" t="s">
        <v>43</v>
      </c>
      <c r="JYA73" s="49" t="s">
        <v>45</v>
      </c>
      <c r="JYB73" s="49" t="s">
        <v>42</v>
      </c>
      <c r="JYC73" s="49" t="s">
        <v>0</v>
      </c>
      <c r="JYD73" s="49">
        <v>0</v>
      </c>
      <c r="JYE73" s="49">
        <v>1</v>
      </c>
      <c r="JYF73" s="58">
        <v>2.5</v>
      </c>
      <c r="JYG73" s="58">
        <v>5</v>
      </c>
      <c r="JYH73" s="58">
        <v>4</v>
      </c>
      <c r="JYI73" s="49">
        <f>INDEX($T$2:$T$11,MATCH(JYE73,$R$2:$R$11,0))</f>
        <v>0.37</v>
      </c>
      <c r="JYJ73" s="49">
        <f t="shared" si="230"/>
        <v>50</v>
      </c>
      <c r="JYK73" s="57">
        <f t="shared" si="231"/>
        <v>18.5</v>
      </c>
      <c r="JYL73" s="59" t="s">
        <v>44</v>
      </c>
      <c r="JYM73" s="49" t="s">
        <v>44</v>
      </c>
      <c r="JYN73" s="51">
        <v>45117</v>
      </c>
      <c r="JYO73" s="49"/>
      <c r="JYP73" s="49" t="s">
        <v>43</v>
      </c>
      <c r="JYQ73" s="49" t="s">
        <v>45</v>
      </c>
      <c r="JYR73" s="49" t="s">
        <v>42</v>
      </c>
      <c r="JYS73" s="49" t="s">
        <v>0</v>
      </c>
      <c r="JYT73" s="49">
        <v>0</v>
      </c>
      <c r="JYU73" s="49">
        <v>1</v>
      </c>
      <c r="JYV73" s="58">
        <v>2.5</v>
      </c>
      <c r="JYW73" s="58">
        <v>5</v>
      </c>
      <c r="JYX73" s="58">
        <v>4</v>
      </c>
      <c r="JYY73" s="49">
        <f>INDEX($T$2:$T$11,MATCH(JYU73,$R$2:$R$11,0))</f>
        <v>0.37</v>
      </c>
      <c r="JYZ73" s="49">
        <f t="shared" ref="JYZ73:KAV73" si="232">JYV73*JYW73*JYX73</f>
        <v>50</v>
      </c>
      <c r="JZA73" s="57">
        <f t="shared" ref="JZA73:KAW73" si="233">JYY73*JYZ73</f>
        <v>18.5</v>
      </c>
      <c r="JZB73" s="59" t="s">
        <v>44</v>
      </c>
      <c r="JZC73" s="49" t="s">
        <v>44</v>
      </c>
      <c r="JZD73" s="51">
        <v>45117</v>
      </c>
      <c r="JZE73" s="49"/>
      <c r="JZF73" s="49" t="s">
        <v>43</v>
      </c>
      <c r="JZG73" s="49" t="s">
        <v>45</v>
      </c>
      <c r="JZH73" s="49" t="s">
        <v>42</v>
      </c>
      <c r="JZI73" s="49" t="s">
        <v>0</v>
      </c>
      <c r="JZJ73" s="49">
        <v>0</v>
      </c>
      <c r="JZK73" s="49">
        <v>1</v>
      </c>
      <c r="JZL73" s="58">
        <v>2.5</v>
      </c>
      <c r="JZM73" s="58">
        <v>5</v>
      </c>
      <c r="JZN73" s="58">
        <v>4</v>
      </c>
      <c r="JZO73" s="49">
        <f>INDEX($T$2:$T$11,MATCH(JZK73,$R$2:$R$11,0))</f>
        <v>0.37</v>
      </c>
      <c r="JZP73" s="49">
        <f t="shared" si="232"/>
        <v>50</v>
      </c>
      <c r="JZQ73" s="57">
        <f t="shared" si="233"/>
        <v>18.5</v>
      </c>
      <c r="JZR73" s="59" t="s">
        <v>44</v>
      </c>
      <c r="JZS73" s="49" t="s">
        <v>44</v>
      </c>
      <c r="JZT73" s="51">
        <v>45117</v>
      </c>
      <c r="JZU73" s="49"/>
      <c r="JZV73" s="49" t="s">
        <v>43</v>
      </c>
      <c r="JZW73" s="49" t="s">
        <v>45</v>
      </c>
      <c r="JZX73" s="49" t="s">
        <v>42</v>
      </c>
      <c r="JZY73" s="49" t="s">
        <v>0</v>
      </c>
      <c r="JZZ73" s="49">
        <v>0</v>
      </c>
      <c r="KAA73" s="49">
        <v>1</v>
      </c>
      <c r="KAB73" s="58">
        <v>2.5</v>
      </c>
      <c r="KAC73" s="58">
        <v>5</v>
      </c>
      <c r="KAD73" s="58">
        <v>4</v>
      </c>
      <c r="KAE73" s="49">
        <f>INDEX($T$2:$T$11,MATCH(KAA73,$R$2:$R$11,0))</f>
        <v>0.37</v>
      </c>
      <c r="KAF73" s="49">
        <f t="shared" si="232"/>
        <v>50</v>
      </c>
      <c r="KAG73" s="57">
        <f t="shared" si="233"/>
        <v>18.5</v>
      </c>
      <c r="KAH73" s="59" t="s">
        <v>44</v>
      </c>
      <c r="KAI73" s="49" t="s">
        <v>44</v>
      </c>
      <c r="KAJ73" s="51">
        <v>45117</v>
      </c>
      <c r="KAK73" s="49"/>
      <c r="KAL73" s="49" t="s">
        <v>43</v>
      </c>
      <c r="KAM73" s="49" t="s">
        <v>45</v>
      </c>
      <c r="KAN73" s="49" t="s">
        <v>42</v>
      </c>
      <c r="KAO73" s="49" t="s">
        <v>0</v>
      </c>
      <c r="KAP73" s="49">
        <v>0</v>
      </c>
      <c r="KAQ73" s="49">
        <v>1</v>
      </c>
      <c r="KAR73" s="58">
        <v>2.5</v>
      </c>
      <c r="KAS73" s="58">
        <v>5</v>
      </c>
      <c r="KAT73" s="58">
        <v>4</v>
      </c>
      <c r="KAU73" s="49">
        <f>INDEX($T$2:$T$11,MATCH(KAQ73,$R$2:$R$11,0))</f>
        <v>0.37</v>
      </c>
      <c r="KAV73" s="49">
        <f t="shared" si="232"/>
        <v>50</v>
      </c>
      <c r="KAW73" s="57">
        <f t="shared" si="233"/>
        <v>18.5</v>
      </c>
      <c r="KAX73" s="59" t="s">
        <v>44</v>
      </c>
      <c r="KAY73" s="49" t="s">
        <v>44</v>
      </c>
      <c r="KAZ73" s="51">
        <v>45117</v>
      </c>
      <c r="KBA73" s="49"/>
      <c r="KBB73" s="49" t="s">
        <v>43</v>
      </c>
      <c r="KBC73" s="49" t="s">
        <v>45</v>
      </c>
      <c r="KBD73" s="49" t="s">
        <v>42</v>
      </c>
      <c r="KBE73" s="49" t="s">
        <v>0</v>
      </c>
      <c r="KBF73" s="49">
        <v>0</v>
      </c>
      <c r="KBG73" s="49">
        <v>1</v>
      </c>
      <c r="KBH73" s="58">
        <v>2.5</v>
      </c>
      <c r="KBI73" s="58">
        <v>5</v>
      </c>
      <c r="KBJ73" s="58">
        <v>4</v>
      </c>
      <c r="KBK73" s="49">
        <f>INDEX($T$2:$T$11,MATCH(KBG73,$R$2:$R$11,0))</f>
        <v>0.37</v>
      </c>
      <c r="KBL73" s="49">
        <f t="shared" ref="KBL73:KDH73" si="234">KBH73*KBI73*KBJ73</f>
        <v>50</v>
      </c>
      <c r="KBM73" s="57">
        <f t="shared" ref="KBM73:KDI73" si="235">KBK73*KBL73</f>
        <v>18.5</v>
      </c>
      <c r="KBN73" s="59" t="s">
        <v>44</v>
      </c>
      <c r="KBO73" s="49" t="s">
        <v>44</v>
      </c>
      <c r="KBP73" s="51">
        <v>45117</v>
      </c>
      <c r="KBQ73" s="49"/>
      <c r="KBR73" s="49" t="s">
        <v>43</v>
      </c>
      <c r="KBS73" s="49" t="s">
        <v>45</v>
      </c>
      <c r="KBT73" s="49" t="s">
        <v>42</v>
      </c>
      <c r="KBU73" s="49" t="s">
        <v>0</v>
      </c>
      <c r="KBV73" s="49">
        <v>0</v>
      </c>
      <c r="KBW73" s="49">
        <v>1</v>
      </c>
      <c r="KBX73" s="58">
        <v>2.5</v>
      </c>
      <c r="KBY73" s="58">
        <v>5</v>
      </c>
      <c r="KBZ73" s="58">
        <v>4</v>
      </c>
      <c r="KCA73" s="49">
        <f>INDEX($T$2:$T$11,MATCH(KBW73,$R$2:$R$11,0))</f>
        <v>0.37</v>
      </c>
      <c r="KCB73" s="49">
        <f t="shared" si="234"/>
        <v>50</v>
      </c>
      <c r="KCC73" s="57">
        <f t="shared" si="235"/>
        <v>18.5</v>
      </c>
      <c r="KCD73" s="59" t="s">
        <v>44</v>
      </c>
      <c r="KCE73" s="49" t="s">
        <v>44</v>
      </c>
      <c r="KCF73" s="51">
        <v>45117</v>
      </c>
      <c r="KCG73" s="49"/>
      <c r="KCH73" s="49" t="s">
        <v>43</v>
      </c>
      <c r="KCI73" s="49" t="s">
        <v>45</v>
      </c>
      <c r="KCJ73" s="49" t="s">
        <v>42</v>
      </c>
      <c r="KCK73" s="49" t="s">
        <v>0</v>
      </c>
      <c r="KCL73" s="49">
        <v>0</v>
      </c>
      <c r="KCM73" s="49">
        <v>1</v>
      </c>
      <c r="KCN73" s="58">
        <v>2.5</v>
      </c>
      <c r="KCO73" s="58">
        <v>5</v>
      </c>
      <c r="KCP73" s="58">
        <v>4</v>
      </c>
      <c r="KCQ73" s="49">
        <f>INDEX($T$2:$T$11,MATCH(KCM73,$R$2:$R$11,0))</f>
        <v>0.37</v>
      </c>
      <c r="KCR73" s="49">
        <f t="shared" si="234"/>
        <v>50</v>
      </c>
      <c r="KCS73" s="57">
        <f t="shared" si="235"/>
        <v>18.5</v>
      </c>
      <c r="KCT73" s="59" t="s">
        <v>44</v>
      </c>
      <c r="KCU73" s="49" t="s">
        <v>44</v>
      </c>
      <c r="KCV73" s="51">
        <v>45117</v>
      </c>
      <c r="KCW73" s="49"/>
      <c r="KCX73" s="49" t="s">
        <v>43</v>
      </c>
      <c r="KCY73" s="49" t="s">
        <v>45</v>
      </c>
      <c r="KCZ73" s="49" t="s">
        <v>42</v>
      </c>
      <c r="KDA73" s="49" t="s">
        <v>0</v>
      </c>
      <c r="KDB73" s="49">
        <v>0</v>
      </c>
      <c r="KDC73" s="49">
        <v>1</v>
      </c>
      <c r="KDD73" s="58">
        <v>2.5</v>
      </c>
      <c r="KDE73" s="58">
        <v>5</v>
      </c>
      <c r="KDF73" s="58">
        <v>4</v>
      </c>
      <c r="KDG73" s="49">
        <f>INDEX($T$2:$T$11,MATCH(KDC73,$R$2:$R$11,0))</f>
        <v>0.37</v>
      </c>
      <c r="KDH73" s="49">
        <f t="shared" si="234"/>
        <v>50</v>
      </c>
      <c r="KDI73" s="57">
        <f t="shared" si="235"/>
        <v>18.5</v>
      </c>
      <c r="KDJ73" s="59" t="s">
        <v>44</v>
      </c>
      <c r="KDK73" s="49" t="s">
        <v>44</v>
      </c>
      <c r="KDL73" s="51">
        <v>45117</v>
      </c>
      <c r="KDM73" s="49"/>
      <c r="KDN73" s="49" t="s">
        <v>43</v>
      </c>
      <c r="KDO73" s="49" t="s">
        <v>45</v>
      </c>
      <c r="KDP73" s="49" t="s">
        <v>42</v>
      </c>
      <c r="KDQ73" s="49" t="s">
        <v>0</v>
      </c>
      <c r="KDR73" s="49">
        <v>0</v>
      </c>
      <c r="KDS73" s="49">
        <v>1</v>
      </c>
      <c r="KDT73" s="58">
        <v>2.5</v>
      </c>
      <c r="KDU73" s="58">
        <v>5</v>
      </c>
      <c r="KDV73" s="58">
        <v>4</v>
      </c>
      <c r="KDW73" s="49">
        <f>INDEX($T$2:$T$11,MATCH(KDS73,$R$2:$R$11,0))</f>
        <v>0.37</v>
      </c>
      <c r="KDX73" s="49">
        <f t="shared" ref="KDX73:KFT73" si="236">KDT73*KDU73*KDV73</f>
        <v>50</v>
      </c>
      <c r="KDY73" s="57">
        <f t="shared" ref="KDY73:KFU73" si="237">KDW73*KDX73</f>
        <v>18.5</v>
      </c>
      <c r="KDZ73" s="59" t="s">
        <v>44</v>
      </c>
      <c r="KEA73" s="49" t="s">
        <v>44</v>
      </c>
      <c r="KEB73" s="51">
        <v>45117</v>
      </c>
      <c r="KEC73" s="49"/>
      <c r="KED73" s="49" t="s">
        <v>43</v>
      </c>
      <c r="KEE73" s="49" t="s">
        <v>45</v>
      </c>
      <c r="KEF73" s="49" t="s">
        <v>42</v>
      </c>
      <c r="KEG73" s="49" t="s">
        <v>0</v>
      </c>
      <c r="KEH73" s="49">
        <v>0</v>
      </c>
      <c r="KEI73" s="49">
        <v>1</v>
      </c>
      <c r="KEJ73" s="58">
        <v>2.5</v>
      </c>
      <c r="KEK73" s="58">
        <v>5</v>
      </c>
      <c r="KEL73" s="58">
        <v>4</v>
      </c>
      <c r="KEM73" s="49">
        <f>INDEX($T$2:$T$11,MATCH(KEI73,$R$2:$R$11,0))</f>
        <v>0.37</v>
      </c>
      <c r="KEN73" s="49">
        <f t="shared" si="236"/>
        <v>50</v>
      </c>
      <c r="KEO73" s="57">
        <f t="shared" si="237"/>
        <v>18.5</v>
      </c>
      <c r="KEP73" s="59" t="s">
        <v>44</v>
      </c>
      <c r="KEQ73" s="49" t="s">
        <v>44</v>
      </c>
      <c r="KER73" s="51">
        <v>45117</v>
      </c>
      <c r="KES73" s="49"/>
      <c r="KET73" s="49" t="s">
        <v>43</v>
      </c>
      <c r="KEU73" s="49" t="s">
        <v>45</v>
      </c>
      <c r="KEV73" s="49" t="s">
        <v>42</v>
      </c>
      <c r="KEW73" s="49" t="s">
        <v>0</v>
      </c>
      <c r="KEX73" s="49">
        <v>0</v>
      </c>
      <c r="KEY73" s="49">
        <v>1</v>
      </c>
      <c r="KEZ73" s="58">
        <v>2.5</v>
      </c>
      <c r="KFA73" s="58">
        <v>5</v>
      </c>
      <c r="KFB73" s="58">
        <v>4</v>
      </c>
      <c r="KFC73" s="49">
        <f>INDEX($T$2:$T$11,MATCH(KEY73,$R$2:$R$11,0))</f>
        <v>0.37</v>
      </c>
      <c r="KFD73" s="49">
        <f t="shared" si="236"/>
        <v>50</v>
      </c>
      <c r="KFE73" s="57">
        <f t="shared" si="237"/>
        <v>18.5</v>
      </c>
      <c r="KFF73" s="59" t="s">
        <v>44</v>
      </c>
      <c r="KFG73" s="49" t="s">
        <v>44</v>
      </c>
      <c r="KFH73" s="51">
        <v>45117</v>
      </c>
      <c r="KFI73" s="49"/>
      <c r="KFJ73" s="49" t="s">
        <v>43</v>
      </c>
      <c r="KFK73" s="49" t="s">
        <v>45</v>
      </c>
      <c r="KFL73" s="49" t="s">
        <v>42</v>
      </c>
      <c r="KFM73" s="49" t="s">
        <v>0</v>
      </c>
      <c r="KFN73" s="49">
        <v>0</v>
      </c>
      <c r="KFO73" s="49">
        <v>1</v>
      </c>
      <c r="KFP73" s="58">
        <v>2.5</v>
      </c>
      <c r="KFQ73" s="58">
        <v>5</v>
      </c>
      <c r="KFR73" s="58">
        <v>4</v>
      </c>
      <c r="KFS73" s="49">
        <f>INDEX($T$2:$T$11,MATCH(KFO73,$R$2:$R$11,0))</f>
        <v>0.37</v>
      </c>
      <c r="KFT73" s="49">
        <f t="shared" si="236"/>
        <v>50</v>
      </c>
      <c r="KFU73" s="57">
        <f t="shared" si="237"/>
        <v>18.5</v>
      </c>
      <c r="KFV73" s="59" t="s">
        <v>44</v>
      </c>
      <c r="KFW73" s="49" t="s">
        <v>44</v>
      </c>
      <c r="KFX73" s="51">
        <v>45117</v>
      </c>
      <c r="KFY73" s="49"/>
      <c r="KFZ73" s="49" t="s">
        <v>43</v>
      </c>
      <c r="KGA73" s="49" t="s">
        <v>45</v>
      </c>
      <c r="KGB73" s="49" t="s">
        <v>42</v>
      </c>
      <c r="KGC73" s="49" t="s">
        <v>0</v>
      </c>
      <c r="KGD73" s="49">
        <v>0</v>
      </c>
      <c r="KGE73" s="49">
        <v>1</v>
      </c>
      <c r="KGF73" s="58">
        <v>2.5</v>
      </c>
      <c r="KGG73" s="58">
        <v>5</v>
      </c>
      <c r="KGH73" s="58">
        <v>4</v>
      </c>
      <c r="KGI73" s="49">
        <f>INDEX($T$2:$T$11,MATCH(KGE73,$R$2:$R$11,0))</f>
        <v>0.37</v>
      </c>
      <c r="KGJ73" s="49">
        <f t="shared" ref="KGJ73:KIF73" si="238">KGF73*KGG73*KGH73</f>
        <v>50</v>
      </c>
      <c r="KGK73" s="57">
        <f t="shared" ref="KGK73:KIG73" si="239">KGI73*KGJ73</f>
        <v>18.5</v>
      </c>
      <c r="KGL73" s="59" t="s">
        <v>44</v>
      </c>
      <c r="KGM73" s="49" t="s">
        <v>44</v>
      </c>
      <c r="KGN73" s="51">
        <v>45117</v>
      </c>
      <c r="KGO73" s="49"/>
      <c r="KGP73" s="49" t="s">
        <v>43</v>
      </c>
      <c r="KGQ73" s="49" t="s">
        <v>45</v>
      </c>
      <c r="KGR73" s="49" t="s">
        <v>42</v>
      </c>
      <c r="KGS73" s="49" t="s">
        <v>0</v>
      </c>
      <c r="KGT73" s="49">
        <v>0</v>
      </c>
      <c r="KGU73" s="49">
        <v>1</v>
      </c>
      <c r="KGV73" s="58">
        <v>2.5</v>
      </c>
      <c r="KGW73" s="58">
        <v>5</v>
      </c>
      <c r="KGX73" s="58">
        <v>4</v>
      </c>
      <c r="KGY73" s="49">
        <f>INDEX($T$2:$T$11,MATCH(KGU73,$R$2:$R$11,0))</f>
        <v>0.37</v>
      </c>
      <c r="KGZ73" s="49">
        <f t="shared" si="238"/>
        <v>50</v>
      </c>
      <c r="KHA73" s="57">
        <f t="shared" si="239"/>
        <v>18.5</v>
      </c>
      <c r="KHB73" s="59" t="s">
        <v>44</v>
      </c>
      <c r="KHC73" s="49" t="s">
        <v>44</v>
      </c>
      <c r="KHD73" s="51">
        <v>45117</v>
      </c>
      <c r="KHE73" s="49"/>
      <c r="KHF73" s="49" t="s">
        <v>43</v>
      </c>
      <c r="KHG73" s="49" t="s">
        <v>45</v>
      </c>
      <c r="KHH73" s="49" t="s">
        <v>42</v>
      </c>
      <c r="KHI73" s="49" t="s">
        <v>0</v>
      </c>
      <c r="KHJ73" s="49">
        <v>0</v>
      </c>
      <c r="KHK73" s="49">
        <v>1</v>
      </c>
      <c r="KHL73" s="58">
        <v>2.5</v>
      </c>
      <c r="KHM73" s="58">
        <v>5</v>
      </c>
      <c r="KHN73" s="58">
        <v>4</v>
      </c>
      <c r="KHO73" s="49">
        <f>INDEX($T$2:$T$11,MATCH(KHK73,$R$2:$R$11,0))</f>
        <v>0.37</v>
      </c>
      <c r="KHP73" s="49">
        <f t="shared" si="238"/>
        <v>50</v>
      </c>
      <c r="KHQ73" s="57">
        <f t="shared" si="239"/>
        <v>18.5</v>
      </c>
      <c r="KHR73" s="59" t="s">
        <v>44</v>
      </c>
      <c r="KHS73" s="49" t="s">
        <v>44</v>
      </c>
      <c r="KHT73" s="51">
        <v>45117</v>
      </c>
      <c r="KHU73" s="49"/>
      <c r="KHV73" s="49" t="s">
        <v>43</v>
      </c>
      <c r="KHW73" s="49" t="s">
        <v>45</v>
      </c>
      <c r="KHX73" s="49" t="s">
        <v>42</v>
      </c>
      <c r="KHY73" s="49" t="s">
        <v>0</v>
      </c>
      <c r="KHZ73" s="49">
        <v>0</v>
      </c>
      <c r="KIA73" s="49">
        <v>1</v>
      </c>
      <c r="KIB73" s="58">
        <v>2.5</v>
      </c>
      <c r="KIC73" s="58">
        <v>5</v>
      </c>
      <c r="KID73" s="58">
        <v>4</v>
      </c>
      <c r="KIE73" s="49">
        <f>INDEX($T$2:$T$11,MATCH(KIA73,$R$2:$R$11,0))</f>
        <v>0.37</v>
      </c>
      <c r="KIF73" s="49">
        <f t="shared" si="238"/>
        <v>50</v>
      </c>
      <c r="KIG73" s="57">
        <f t="shared" si="239"/>
        <v>18.5</v>
      </c>
      <c r="KIH73" s="59" t="s">
        <v>44</v>
      </c>
      <c r="KII73" s="49" t="s">
        <v>44</v>
      </c>
      <c r="KIJ73" s="51">
        <v>45117</v>
      </c>
      <c r="KIK73" s="49"/>
      <c r="KIL73" s="49" t="s">
        <v>43</v>
      </c>
      <c r="KIM73" s="49" t="s">
        <v>45</v>
      </c>
      <c r="KIN73" s="49" t="s">
        <v>42</v>
      </c>
      <c r="KIO73" s="49" t="s">
        <v>0</v>
      </c>
      <c r="KIP73" s="49">
        <v>0</v>
      </c>
      <c r="KIQ73" s="49">
        <v>1</v>
      </c>
      <c r="KIR73" s="58">
        <v>2.5</v>
      </c>
      <c r="KIS73" s="58">
        <v>5</v>
      </c>
      <c r="KIT73" s="58">
        <v>4</v>
      </c>
      <c r="KIU73" s="49">
        <f>INDEX($T$2:$T$11,MATCH(KIQ73,$R$2:$R$11,0))</f>
        <v>0.37</v>
      </c>
      <c r="KIV73" s="49">
        <f t="shared" ref="KIV73:KKR73" si="240">KIR73*KIS73*KIT73</f>
        <v>50</v>
      </c>
      <c r="KIW73" s="57">
        <f t="shared" ref="KIW73:KKS73" si="241">KIU73*KIV73</f>
        <v>18.5</v>
      </c>
      <c r="KIX73" s="59" t="s">
        <v>44</v>
      </c>
      <c r="KIY73" s="49" t="s">
        <v>44</v>
      </c>
      <c r="KIZ73" s="51">
        <v>45117</v>
      </c>
      <c r="KJA73" s="49"/>
      <c r="KJB73" s="49" t="s">
        <v>43</v>
      </c>
      <c r="KJC73" s="49" t="s">
        <v>45</v>
      </c>
      <c r="KJD73" s="49" t="s">
        <v>42</v>
      </c>
      <c r="KJE73" s="49" t="s">
        <v>0</v>
      </c>
      <c r="KJF73" s="49">
        <v>0</v>
      </c>
      <c r="KJG73" s="49">
        <v>1</v>
      </c>
      <c r="KJH73" s="58">
        <v>2.5</v>
      </c>
      <c r="KJI73" s="58">
        <v>5</v>
      </c>
      <c r="KJJ73" s="58">
        <v>4</v>
      </c>
      <c r="KJK73" s="49">
        <f>INDEX($T$2:$T$11,MATCH(KJG73,$R$2:$R$11,0))</f>
        <v>0.37</v>
      </c>
      <c r="KJL73" s="49">
        <f t="shared" si="240"/>
        <v>50</v>
      </c>
      <c r="KJM73" s="57">
        <f t="shared" si="241"/>
        <v>18.5</v>
      </c>
      <c r="KJN73" s="59" t="s">
        <v>44</v>
      </c>
      <c r="KJO73" s="49" t="s">
        <v>44</v>
      </c>
      <c r="KJP73" s="51">
        <v>45117</v>
      </c>
      <c r="KJQ73" s="49"/>
      <c r="KJR73" s="49" t="s">
        <v>43</v>
      </c>
      <c r="KJS73" s="49" t="s">
        <v>45</v>
      </c>
      <c r="KJT73" s="49" t="s">
        <v>42</v>
      </c>
      <c r="KJU73" s="49" t="s">
        <v>0</v>
      </c>
      <c r="KJV73" s="49">
        <v>0</v>
      </c>
      <c r="KJW73" s="49">
        <v>1</v>
      </c>
      <c r="KJX73" s="58">
        <v>2.5</v>
      </c>
      <c r="KJY73" s="58">
        <v>5</v>
      </c>
      <c r="KJZ73" s="58">
        <v>4</v>
      </c>
      <c r="KKA73" s="49">
        <f>INDEX($T$2:$T$11,MATCH(KJW73,$R$2:$R$11,0))</f>
        <v>0.37</v>
      </c>
      <c r="KKB73" s="49">
        <f t="shared" si="240"/>
        <v>50</v>
      </c>
      <c r="KKC73" s="57">
        <f t="shared" si="241"/>
        <v>18.5</v>
      </c>
      <c r="KKD73" s="59" t="s">
        <v>44</v>
      </c>
      <c r="KKE73" s="49" t="s">
        <v>44</v>
      </c>
      <c r="KKF73" s="51">
        <v>45117</v>
      </c>
      <c r="KKG73" s="49"/>
      <c r="KKH73" s="49" t="s">
        <v>43</v>
      </c>
      <c r="KKI73" s="49" t="s">
        <v>45</v>
      </c>
      <c r="KKJ73" s="49" t="s">
        <v>42</v>
      </c>
      <c r="KKK73" s="49" t="s">
        <v>0</v>
      </c>
      <c r="KKL73" s="49">
        <v>0</v>
      </c>
      <c r="KKM73" s="49">
        <v>1</v>
      </c>
      <c r="KKN73" s="58">
        <v>2.5</v>
      </c>
      <c r="KKO73" s="58">
        <v>5</v>
      </c>
      <c r="KKP73" s="58">
        <v>4</v>
      </c>
      <c r="KKQ73" s="49">
        <f>INDEX($T$2:$T$11,MATCH(KKM73,$R$2:$R$11,0))</f>
        <v>0.37</v>
      </c>
      <c r="KKR73" s="49">
        <f t="shared" si="240"/>
        <v>50</v>
      </c>
      <c r="KKS73" s="57">
        <f t="shared" si="241"/>
        <v>18.5</v>
      </c>
      <c r="KKT73" s="59" t="s">
        <v>44</v>
      </c>
      <c r="KKU73" s="49" t="s">
        <v>44</v>
      </c>
      <c r="KKV73" s="51">
        <v>45117</v>
      </c>
      <c r="KKW73" s="49"/>
      <c r="KKX73" s="49" t="s">
        <v>43</v>
      </c>
      <c r="KKY73" s="49" t="s">
        <v>45</v>
      </c>
      <c r="KKZ73" s="49" t="s">
        <v>42</v>
      </c>
      <c r="KLA73" s="49" t="s">
        <v>0</v>
      </c>
      <c r="KLB73" s="49">
        <v>0</v>
      </c>
      <c r="KLC73" s="49">
        <v>1</v>
      </c>
      <c r="KLD73" s="58">
        <v>2.5</v>
      </c>
      <c r="KLE73" s="58">
        <v>5</v>
      </c>
      <c r="KLF73" s="58">
        <v>4</v>
      </c>
      <c r="KLG73" s="49">
        <f>INDEX($T$2:$T$11,MATCH(KLC73,$R$2:$R$11,0))</f>
        <v>0.37</v>
      </c>
      <c r="KLH73" s="49">
        <f t="shared" ref="KLH73:KND73" si="242">KLD73*KLE73*KLF73</f>
        <v>50</v>
      </c>
      <c r="KLI73" s="57">
        <f t="shared" ref="KLI73:KNE73" si="243">KLG73*KLH73</f>
        <v>18.5</v>
      </c>
      <c r="KLJ73" s="59" t="s">
        <v>44</v>
      </c>
      <c r="KLK73" s="49" t="s">
        <v>44</v>
      </c>
      <c r="KLL73" s="51">
        <v>45117</v>
      </c>
      <c r="KLM73" s="49"/>
      <c r="KLN73" s="49" t="s">
        <v>43</v>
      </c>
      <c r="KLO73" s="49" t="s">
        <v>45</v>
      </c>
      <c r="KLP73" s="49" t="s">
        <v>42</v>
      </c>
      <c r="KLQ73" s="49" t="s">
        <v>0</v>
      </c>
      <c r="KLR73" s="49">
        <v>0</v>
      </c>
      <c r="KLS73" s="49">
        <v>1</v>
      </c>
      <c r="KLT73" s="58">
        <v>2.5</v>
      </c>
      <c r="KLU73" s="58">
        <v>5</v>
      </c>
      <c r="KLV73" s="58">
        <v>4</v>
      </c>
      <c r="KLW73" s="49">
        <f>INDEX($T$2:$T$11,MATCH(KLS73,$R$2:$R$11,0))</f>
        <v>0.37</v>
      </c>
      <c r="KLX73" s="49">
        <f t="shared" si="242"/>
        <v>50</v>
      </c>
      <c r="KLY73" s="57">
        <f t="shared" si="243"/>
        <v>18.5</v>
      </c>
      <c r="KLZ73" s="59" t="s">
        <v>44</v>
      </c>
      <c r="KMA73" s="49" t="s">
        <v>44</v>
      </c>
      <c r="KMB73" s="51">
        <v>45117</v>
      </c>
      <c r="KMC73" s="49"/>
      <c r="KMD73" s="49" t="s">
        <v>43</v>
      </c>
      <c r="KME73" s="49" t="s">
        <v>45</v>
      </c>
      <c r="KMF73" s="49" t="s">
        <v>42</v>
      </c>
      <c r="KMG73" s="49" t="s">
        <v>0</v>
      </c>
      <c r="KMH73" s="49">
        <v>0</v>
      </c>
      <c r="KMI73" s="49">
        <v>1</v>
      </c>
      <c r="KMJ73" s="58">
        <v>2.5</v>
      </c>
      <c r="KMK73" s="58">
        <v>5</v>
      </c>
      <c r="KML73" s="58">
        <v>4</v>
      </c>
      <c r="KMM73" s="49">
        <f>INDEX($T$2:$T$11,MATCH(KMI73,$R$2:$R$11,0))</f>
        <v>0.37</v>
      </c>
      <c r="KMN73" s="49">
        <f t="shared" si="242"/>
        <v>50</v>
      </c>
      <c r="KMO73" s="57">
        <f t="shared" si="243"/>
        <v>18.5</v>
      </c>
      <c r="KMP73" s="59" t="s">
        <v>44</v>
      </c>
      <c r="KMQ73" s="49" t="s">
        <v>44</v>
      </c>
      <c r="KMR73" s="51">
        <v>45117</v>
      </c>
      <c r="KMS73" s="49"/>
      <c r="KMT73" s="49" t="s">
        <v>43</v>
      </c>
      <c r="KMU73" s="49" t="s">
        <v>45</v>
      </c>
      <c r="KMV73" s="49" t="s">
        <v>42</v>
      </c>
      <c r="KMW73" s="49" t="s">
        <v>0</v>
      </c>
      <c r="KMX73" s="49">
        <v>0</v>
      </c>
      <c r="KMY73" s="49">
        <v>1</v>
      </c>
      <c r="KMZ73" s="58">
        <v>2.5</v>
      </c>
      <c r="KNA73" s="58">
        <v>5</v>
      </c>
      <c r="KNB73" s="58">
        <v>4</v>
      </c>
      <c r="KNC73" s="49">
        <f>INDEX($T$2:$T$11,MATCH(KMY73,$R$2:$R$11,0))</f>
        <v>0.37</v>
      </c>
      <c r="KND73" s="49">
        <f t="shared" si="242"/>
        <v>50</v>
      </c>
      <c r="KNE73" s="57">
        <f t="shared" si="243"/>
        <v>18.5</v>
      </c>
      <c r="KNF73" s="59" t="s">
        <v>44</v>
      </c>
      <c r="KNG73" s="49" t="s">
        <v>44</v>
      </c>
      <c r="KNH73" s="51">
        <v>45117</v>
      </c>
      <c r="KNI73" s="49"/>
      <c r="KNJ73" s="49" t="s">
        <v>43</v>
      </c>
      <c r="KNK73" s="49" t="s">
        <v>45</v>
      </c>
      <c r="KNL73" s="49" t="s">
        <v>42</v>
      </c>
      <c r="KNM73" s="49" t="s">
        <v>0</v>
      </c>
      <c r="KNN73" s="49">
        <v>0</v>
      </c>
      <c r="KNO73" s="49">
        <v>1</v>
      </c>
      <c r="KNP73" s="58">
        <v>2.5</v>
      </c>
      <c r="KNQ73" s="58">
        <v>5</v>
      </c>
      <c r="KNR73" s="58">
        <v>4</v>
      </c>
      <c r="KNS73" s="49">
        <f>INDEX($T$2:$T$11,MATCH(KNO73,$R$2:$R$11,0))</f>
        <v>0.37</v>
      </c>
      <c r="KNT73" s="49">
        <f t="shared" ref="KNT73:KPP73" si="244">KNP73*KNQ73*KNR73</f>
        <v>50</v>
      </c>
      <c r="KNU73" s="57">
        <f t="shared" ref="KNU73:KPQ73" si="245">KNS73*KNT73</f>
        <v>18.5</v>
      </c>
      <c r="KNV73" s="59" t="s">
        <v>44</v>
      </c>
      <c r="KNW73" s="49" t="s">
        <v>44</v>
      </c>
      <c r="KNX73" s="51">
        <v>45117</v>
      </c>
      <c r="KNY73" s="49"/>
      <c r="KNZ73" s="49" t="s">
        <v>43</v>
      </c>
      <c r="KOA73" s="49" t="s">
        <v>45</v>
      </c>
      <c r="KOB73" s="49" t="s">
        <v>42</v>
      </c>
      <c r="KOC73" s="49" t="s">
        <v>0</v>
      </c>
      <c r="KOD73" s="49">
        <v>0</v>
      </c>
      <c r="KOE73" s="49">
        <v>1</v>
      </c>
      <c r="KOF73" s="58">
        <v>2.5</v>
      </c>
      <c r="KOG73" s="58">
        <v>5</v>
      </c>
      <c r="KOH73" s="58">
        <v>4</v>
      </c>
      <c r="KOI73" s="49">
        <f>INDEX($T$2:$T$11,MATCH(KOE73,$R$2:$R$11,0))</f>
        <v>0.37</v>
      </c>
      <c r="KOJ73" s="49">
        <f t="shared" si="244"/>
        <v>50</v>
      </c>
      <c r="KOK73" s="57">
        <f t="shared" si="245"/>
        <v>18.5</v>
      </c>
      <c r="KOL73" s="59" t="s">
        <v>44</v>
      </c>
      <c r="KOM73" s="49" t="s">
        <v>44</v>
      </c>
      <c r="KON73" s="51">
        <v>45117</v>
      </c>
      <c r="KOO73" s="49"/>
      <c r="KOP73" s="49" t="s">
        <v>43</v>
      </c>
      <c r="KOQ73" s="49" t="s">
        <v>45</v>
      </c>
      <c r="KOR73" s="49" t="s">
        <v>42</v>
      </c>
      <c r="KOS73" s="49" t="s">
        <v>0</v>
      </c>
      <c r="KOT73" s="49">
        <v>0</v>
      </c>
      <c r="KOU73" s="49">
        <v>1</v>
      </c>
      <c r="KOV73" s="58">
        <v>2.5</v>
      </c>
      <c r="KOW73" s="58">
        <v>5</v>
      </c>
      <c r="KOX73" s="58">
        <v>4</v>
      </c>
      <c r="KOY73" s="49">
        <f>INDEX($T$2:$T$11,MATCH(KOU73,$R$2:$R$11,0))</f>
        <v>0.37</v>
      </c>
      <c r="KOZ73" s="49">
        <f t="shared" si="244"/>
        <v>50</v>
      </c>
      <c r="KPA73" s="57">
        <f t="shared" si="245"/>
        <v>18.5</v>
      </c>
      <c r="KPB73" s="59" t="s">
        <v>44</v>
      </c>
      <c r="KPC73" s="49" t="s">
        <v>44</v>
      </c>
      <c r="KPD73" s="51">
        <v>45117</v>
      </c>
      <c r="KPE73" s="49"/>
      <c r="KPF73" s="49" t="s">
        <v>43</v>
      </c>
      <c r="KPG73" s="49" t="s">
        <v>45</v>
      </c>
      <c r="KPH73" s="49" t="s">
        <v>42</v>
      </c>
      <c r="KPI73" s="49" t="s">
        <v>0</v>
      </c>
      <c r="KPJ73" s="49">
        <v>0</v>
      </c>
      <c r="KPK73" s="49">
        <v>1</v>
      </c>
      <c r="KPL73" s="58">
        <v>2.5</v>
      </c>
      <c r="KPM73" s="58">
        <v>5</v>
      </c>
      <c r="KPN73" s="58">
        <v>4</v>
      </c>
      <c r="KPO73" s="49">
        <f>INDEX($T$2:$T$11,MATCH(KPK73,$R$2:$R$11,0))</f>
        <v>0.37</v>
      </c>
      <c r="KPP73" s="49">
        <f t="shared" si="244"/>
        <v>50</v>
      </c>
      <c r="KPQ73" s="57">
        <f t="shared" si="245"/>
        <v>18.5</v>
      </c>
      <c r="KPR73" s="59" t="s">
        <v>44</v>
      </c>
      <c r="KPS73" s="49" t="s">
        <v>44</v>
      </c>
      <c r="KPT73" s="51">
        <v>45117</v>
      </c>
      <c r="KPU73" s="49"/>
      <c r="KPV73" s="49" t="s">
        <v>43</v>
      </c>
      <c r="KPW73" s="49" t="s">
        <v>45</v>
      </c>
      <c r="KPX73" s="49" t="s">
        <v>42</v>
      </c>
      <c r="KPY73" s="49" t="s">
        <v>0</v>
      </c>
      <c r="KPZ73" s="49">
        <v>0</v>
      </c>
      <c r="KQA73" s="49">
        <v>1</v>
      </c>
      <c r="KQB73" s="58">
        <v>2.5</v>
      </c>
      <c r="KQC73" s="58">
        <v>5</v>
      </c>
      <c r="KQD73" s="58">
        <v>4</v>
      </c>
      <c r="KQE73" s="49">
        <f>INDEX($T$2:$T$11,MATCH(KQA73,$R$2:$R$11,0))</f>
        <v>0.37</v>
      </c>
      <c r="KQF73" s="49">
        <f t="shared" ref="KQF73:KSB73" si="246">KQB73*KQC73*KQD73</f>
        <v>50</v>
      </c>
      <c r="KQG73" s="57">
        <f t="shared" ref="KQG73:KSC73" si="247">KQE73*KQF73</f>
        <v>18.5</v>
      </c>
      <c r="KQH73" s="59" t="s">
        <v>44</v>
      </c>
      <c r="KQI73" s="49" t="s">
        <v>44</v>
      </c>
      <c r="KQJ73" s="51">
        <v>45117</v>
      </c>
      <c r="KQK73" s="49"/>
      <c r="KQL73" s="49" t="s">
        <v>43</v>
      </c>
      <c r="KQM73" s="49" t="s">
        <v>45</v>
      </c>
      <c r="KQN73" s="49" t="s">
        <v>42</v>
      </c>
      <c r="KQO73" s="49" t="s">
        <v>0</v>
      </c>
      <c r="KQP73" s="49">
        <v>0</v>
      </c>
      <c r="KQQ73" s="49">
        <v>1</v>
      </c>
      <c r="KQR73" s="58">
        <v>2.5</v>
      </c>
      <c r="KQS73" s="58">
        <v>5</v>
      </c>
      <c r="KQT73" s="58">
        <v>4</v>
      </c>
      <c r="KQU73" s="49">
        <f>INDEX($T$2:$T$11,MATCH(KQQ73,$R$2:$R$11,0))</f>
        <v>0.37</v>
      </c>
      <c r="KQV73" s="49">
        <f t="shared" si="246"/>
        <v>50</v>
      </c>
      <c r="KQW73" s="57">
        <f t="shared" si="247"/>
        <v>18.5</v>
      </c>
      <c r="KQX73" s="59" t="s">
        <v>44</v>
      </c>
      <c r="KQY73" s="49" t="s">
        <v>44</v>
      </c>
      <c r="KQZ73" s="51">
        <v>45117</v>
      </c>
      <c r="KRA73" s="49"/>
      <c r="KRB73" s="49" t="s">
        <v>43</v>
      </c>
      <c r="KRC73" s="49" t="s">
        <v>45</v>
      </c>
      <c r="KRD73" s="49" t="s">
        <v>42</v>
      </c>
      <c r="KRE73" s="49" t="s">
        <v>0</v>
      </c>
      <c r="KRF73" s="49">
        <v>0</v>
      </c>
      <c r="KRG73" s="49">
        <v>1</v>
      </c>
      <c r="KRH73" s="58">
        <v>2.5</v>
      </c>
      <c r="KRI73" s="58">
        <v>5</v>
      </c>
      <c r="KRJ73" s="58">
        <v>4</v>
      </c>
      <c r="KRK73" s="49">
        <f>INDEX($T$2:$T$11,MATCH(KRG73,$R$2:$R$11,0))</f>
        <v>0.37</v>
      </c>
      <c r="KRL73" s="49">
        <f t="shared" si="246"/>
        <v>50</v>
      </c>
      <c r="KRM73" s="57">
        <f t="shared" si="247"/>
        <v>18.5</v>
      </c>
      <c r="KRN73" s="59" t="s">
        <v>44</v>
      </c>
      <c r="KRO73" s="49" t="s">
        <v>44</v>
      </c>
      <c r="KRP73" s="51">
        <v>45117</v>
      </c>
      <c r="KRQ73" s="49"/>
      <c r="KRR73" s="49" t="s">
        <v>43</v>
      </c>
      <c r="KRS73" s="49" t="s">
        <v>45</v>
      </c>
      <c r="KRT73" s="49" t="s">
        <v>42</v>
      </c>
      <c r="KRU73" s="49" t="s">
        <v>0</v>
      </c>
      <c r="KRV73" s="49">
        <v>0</v>
      </c>
      <c r="KRW73" s="49">
        <v>1</v>
      </c>
      <c r="KRX73" s="58">
        <v>2.5</v>
      </c>
      <c r="KRY73" s="58">
        <v>5</v>
      </c>
      <c r="KRZ73" s="58">
        <v>4</v>
      </c>
      <c r="KSA73" s="49">
        <f>INDEX($T$2:$T$11,MATCH(KRW73,$R$2:$R$11,0))</f>
        <v>0.37</v>
      </c>
      <c r="KSB73" s="49">
        <f t="shared" si="246"/>
        <v>50</v>
      </c>
      <c r="KSC73" s="57">
        <f t="shared" si="247"/>
        <v>18.5</v>
      </c>
      <c r="KSD73" s="59" t="s">
        <v>44</v>
      </c>
      <c r="KSE73" s="49" t="s">
        <v>44</v>
      </c>
      <c r="KSF73" s="51">
        <v>45117</v>
      </c>
      <c r="KSG73" s="49"/>
      <c r="KSH73" s="49" t="s">
        <v>43</v>
      </c>
      <c r="KSI73" s="49" t="s">
        <v>45</v>
      </c>
      <c r="KSJ73" s="49" t="s">
        <v>42</v>
      </c>
      <c r="KSK73" s="49" t="s">
        <v>0</v>
      </c>
      <c r="KSL73" s="49">
        <v>0</v>
      </c>
      <c r="KSM73" s="49">
        <v>1</v>
      </c>
      <c r="KSN73" s="58">
        <v>2.5</v>
      </c>
      <c r="KSO73" s="58">
        <v>5</v>
      </c>
      <c r="KSP73" s="58">
        <v>4</v>
      </c>
      <c r="KSQ73" s="49">
        <f>INDEX($T$2:$T$11,MATCH(KSM73,$R$2:$R$11,0))</f>
        <v>0.37</v>
      </c>
      <c r="KSR73" s="49">
        <f t="shared" ref="KSR73:KUN73" si="248">KSN73*KSO73*KSP73</f>
        <v>50</v>
      </c>
      <c r="KSS73" s="57">
        <f t="shared" ref="KSS73:KUO73" si="249">KSQ73*KSR73</f>
        <v>18.5</v>
      </c>
      <c r="KST73" s="59" t="s">
        <v>44</v>
      </c>
      <c r="KSU73" s="49" t="s">
        <v>44</v>
      </c>
      <c r="KSV73" s="51">
        <v>45117</v>
      </c>
      <c r="KSW73" s="49"/>
      <c r="KSX73" s="49" t="s">
        <v>43</v>
      </c>
      <c r="KSY73" s="49" t="s">
        <v>45</v>
      </c>
      <c r="KSZ73" s="49" t="s">
        <v>42</v>
      </c>
      <c r="KTA73" s="49" t="s">
        <v>0</v>
      </c>
      <c r="KTB73" s="49">
        <v>0</v>
      </c>
      <c r="KTC73" s="49">
        <v>1</v>
      </c>
      <c r="KTD73" s="58">
        <v>2.5</v>
      </c>
      <c r="KTE73" s="58">
        <v>5</v>
      </c>
      <c r="KTF73" s="58">
        <v>4</v>
      </c>
      <c r="KTG73" s="49">
        <f>INDEX($T$2:$T$11,MATCH(KTC73,$R$2:$R$11,0))</f>
        <v>0.37</v>
      </c>
      <c r="KTH73" s="49">
        <f t="shared" si="248"/>
        <v>50</v>
      </c>
      <c r="KTI73" s="57">
        <f t="shared" si="249"/>
        <v>18.5</v>
      </c>
      <c r="KTJ73" s="59" t="s">
        <v>44</v>
      </c>
      <c r="KTK73" s="49" t="s">
        <v>44</v>
      </c>
      <c r="KTL73" s="51">
        <v>45117</v>
      </c>
      <c r="KTM73" s="49"/>
      <c r="KTN73" s="49" t="s">
        <v>43</v>
      </c>
      <c r="KTO73" s="49" t="s">
        <v>45</v>
      </c>
      <c r="KTP73" s="49" t="s">
        <v>42</v>
      </c>
      <c r="KTQ73" s="49" t="s">
        <v>0</v>
      </c>
      <c r="KTR73" s="49">
        <v>0</v>
      </c>
      <c r="KTS73" s="49">
        <v>1</v>
      </c>
      <c r="KTT73" s="58">
        <v>2.5</v>
      </c>
      <c r="KTU73" s="58">
        <v>5</v>
      </c>
      <c r="KTV73" s="58">
        <v>4</v>
      </c>
      <c r="KTW73" s="49">
        <f>INDEX($T$2:$T$11,MATCH(KTS73,$R$2:$R$11,0))</f>
        <v>0.37</v>
      </c>
      <c r="KTX73" s="49">
        <f t="shared" si="248"/>
        <v>50</v>
      </c>
      <c r="KTY73" s="57">
        <f t="shared" si="249"/>
        <v>18.5</v>
      </c>
      <c r="KTZ73" s="59" t="s">
        <v>44</v>
      </c>
      <c r="KUA73" s="49" t="s">
        <v>44</v>
      </c>
      <c r="KUB73" s="51">
        <v>45117</v>
      </c>
      <c r="KUC73" s="49"/>
      <c r="KUD73" s="49" t="s">
        <v>43</v>
      </c>
      <c r="KUE73" s="49" t="s">
        <v>45</v>
      </c>
      <c r="KUF73" s="49" t="s">
        <v>42</v>
      </c>
      <c r="KUG73" s="49" t="s">
        <v>0</v>
      </c>
      <c r="KUH73" s="49">
        <v>0</v>
      </c>
      <c r="KUI73" s="49">
        <v>1</v>
      </c>
      <c r="KUJ73" s="58">
        <v>2.5</v>
      </c>
      <c r="KUK73" s="58">
        <v>5</v>
      </c>
      <c r="KUL73" s="58">
        <v>4</v>
      </c>
      <c r="KUM73" s="49">
        <f>INDEX($T$2:$T$11,MATCH(KUI73,$R$2:$R$11,0))</f>
        <v>0.37</v>
      </c>
      <c r="KUN73" s="49">
        <f t="shared" si="248"/>
        <v>50</v>
      </c>
      <c r="KUO73" s="57">
        <f t="shared" si="249"/>
        <v>18.5</v>
      </c>
      <c r="KUP73" s="59" t="s">
        <v>44</v>
      </c>
      <c r="KUQ73" s="49" t="s">
        <v>44</v>
      </c>
      <c r="KUR73" s="51">
        <v>45117</v>
      </c>
      <c r="KUS73" s="49"/>
      <c r="KUT73" s="49" t="s">
        <v>43</v>
      </c>
      <c r="KUU73" s="49" t="s">
        <v>45</v>
      </c>
      <c r="KUV73" s="49" t="s">
        <v>42</v>
      </c>
      <c r="KUW73" s="49" t="s">
        <v>0</v>
      </c>
      <c r="KUX73" s="49">
        <v>0</v>
      </c>
      <c r="KUY73" s="49">
        <v>1</v>
      </c>
      <c r="KUZ73" s="58">
        <v>2.5</v>
      </c>
      <c r="KVA73" s="58">
        <v>5</v>
      </c>
      <c r="KVB73" s="58">
        <v>4</v>
      </c>
      <c r="KVC73" s="49">
        <f>INDEX($T$2:$T$11,MATCH(KUY73,$R$2:$R$11,0))</f>
        <v>0.37</v>
      </c>
      <c r="KVD73" s="49">
        <f t="shared" ref="KVD73:KWZ73" si="250">KUZ73*KVA73*KVB73</f>
        <v>50</v>
      </c>
      <c r="KVE73" s="57">
        <f t="shared" ref="KVE73:KXA73" si="251">KVC73*KVD73</f>
        <v>18.5</v>
      </c>
      <c r="KVF73" s="59" t="s">
        <v>44</v>
      </c>
      <c r="KVG73" s="49" t="s">
        <v>44</v>
      </c>
      <c r="KVH73" s="51">
        <v>45117</v>
      </c>
      <c r="KVI73" s="49"/>
      <c r="KVJ73" s="49" t="s">
        <v>43</v>
      </c>
      <c r="KVK73" s="49" t="s">
        <v>45</v>
      </c>
      <c r="KVL73" s="49" t="s">
        <v>42</v>
      </c>
      <c r="KVM73" s="49" t="s">
        <v>0</v>
      </c>
      <c r="KVN73" s="49">
        <v>0</v>
      </c>
      <c r="KVO73" s="49">
        <v>1</v>
      </c>
      <c r="KVP73" s="58">
        <v>2.5</v>
      </c>
      <c r="KVQ73" s="58">
        <v>5</v>
      </c>
      <c r="KVR73" s="58">
        <v>4</v>
      </c>
      <c r="KVS73" s="49">
        <f>INDEX($T$2:$T$11,MATCH(KVO73,$R$2:$R$11,0))</f>
        <v>0.37</v>
      </c>
      <c r="KVT73" s="49">
        <f t="shared" si="250"/>
        <v>50</v>
      </c>
      <c r="KVU73" s="57">
        <f t="shared" si="251"/>
        <v>18.5</v>
      </c>
      <c r="KVV73" s="59" t="s">
        <v>44</v>
      </c>
      <c r="KVW73" s="49" t="s">
        <v>44</v>
      </c>
      <c r="KVX73" s="51">
        <v>45117</v>
      </c>
      <c r="KVY73" s="49"/>
      <c r="KVZ73" s="49" t="s">
        <v>43</v>
      </c>
      <c r="KWA73" s="49" t="s">
        <v>45</v>
      </c>
      <c r="KWB73" s="49" t="s">
        <v>42</v>
      </c>
      <c r="KWC73" s="49" t="s">
        <v>0</v>
      </c>
      <c r="KWD73" s="49">
        <v>0</v>
      </c>
      <c r="KWE73" s="49">
        <v>1</v>
      </c>
      <c r="KWF73" s="58">
        <v>2.5</v>
      </c>
      <c r="KWG73" s="58">
        <v>5</v>
      </c>
      <c r="KWH73" s="58">
        <v>4</v>
      </c>
      <c r="KWI73" s="49">
        <f>INDEX($T$2:$T$11,MATCH(KWE73,$R$2:$R$11,0))</f>
        <v>0.37</v>
      </c>
      <c r="KWJ73" s="49">
        <f t="shared" si="250"/>
        <v>50</v>
      </c>
      <c r="KWK73" s="57">
        <f t="shared" si="251"/>
        <v>18.5</v>
      </c>
      <c r="KWL73" s="59" t="s">
        <v>44</v>
      </c>
      <c r="KWM73" s="49" t="s">
        <v>44</v>
      </c>
      <c r="KWN73" s="51">
        <v>45117</v>
      </c>
      <c r="KWO73" s="49"/>
      <c r="KWP73" s="49" t="s">
        <v>43</v>
      </c>
      <c r="KWQ73" s="49" t="s">
        <v>45</v>
      </c>
      <c r="KWR73" s="49" t="s">
        <v>42</v>
      </c>
      <c r="KWS73" s="49" t="s">
        <v>0</v>
      </c>
      <c r="KWT73" s="49">
        <v>0</v>
      </c>
      <c r="KWU73" s="49">
        <v>1</v>
      </c>
      <c r="KWV73" s="58">
        <v>2.5</v>
      </c>
      <c r="KWW73" s="58">
        <v>5</v>
      </c>
      <c r="KWX73" s="58">
        <v>4</v>
      </c>
      <c r="KWY73" s="49">
        <f>INDEX($T$2:$T$11,MATCH(KWU73,$R$2:$R$11,0))</f>
        <v>0.37</v>
      </c>
      <c r="KWZ73" s="49">
        <f t="shared" si="250"/>
        <v>50</v>
      </c>
      <c r="KXA73" s="57">
        <f t="shared" si="251"/>
        <v>18.5</v>
      </c>
      <c r="KXB73" s="59" t="s">
        <v>44</v>
      </c>
      <c r="KXC73" s="49" t="s">
        <v>44</v>
      </c>
      <c r="KXD73" s="51">
        <v>45117</v>
      </c>
      <c r="KXE73" s="49"/>
      <c r="KXF73" s="49" t="s">
        <v>43</v>
      </c>
      <c r="KXG73" s="49" t="s">
        <v>45</v>
      </c>
      <c r="KXH73" s="49" t="s">
        <v>42</v>
      </c>
      <c r="KXI73" s="49" t="s">
        <v>0</v>
      </c>
      <c r="KXJ73" s="49">
        <v>0</v>
      </c>
      <c r="KXK73" s="49">
        <v>1</v>
      </c>
      <c r="KXL73" s="58">
        <v>2.5</v>
      </c>
      <c r="KXM73" s="58">
        <v>5</v>
      </c>
      <c r="KXN73" s="58">
        <v>4</v>
      </c>
      <c r="KXO73" s="49">
        <f>INDEX($T$2:$T$11,MATCH(KXK73,$R$2:$R$11,0))</f>
        <v>0.37</v>
      </c>
      <c r="KXP73" s="49">
        <f t="shared" ref="KXP73:KZL73" si="252">KXL73*KXM73*KXN73</f>
        <v>50</v>
      </c>
      <c r="KXQ73" s="57">
        <f t="shared" ref="KXQ73:KZM73" si="253">KXO73*KXP73</f>
        <v>18.5</v>
      </c>
      <c r="KXR73" s="59" t="s">
        <v>44</v>
      </c>
      <c r="KXS73" s="49" t="s">
        <v>44</v>
      </c>
      <c r="KXT73" s="51">
        <v>45117</v>
      </c>
      <c r="KXU73" s="49"/>
      <c r="KXV73" s="49" t="s">
        <v>43</v>
      </c>
      <c r="KXW73" s="49" t="s">
        <v>45</v>
      </c>
      <c r="KXX73" s="49" t="s">
        <v>42</v>
      </c>
      <c r="KXY73" s="49" t="s">
        <v>0</v>
      </c>
      <c r="KXZ73" s="49">
        <v>0</v>
      </c>
      <c r="KYA73" s="49">
        <v>1</v>
      </c>
      <c r="KYB73" s="58">
        <v>2.5</v>
      </c>
      <c r="KYC73" s="58">
        <v>5</v>
      </c>
      <c r="KYD73" s="58">
        <v>4</v>
      </c>
      <c r="KYE73" s="49">
        <f>INDEX($T$2:$T$11,MATCH(KYA73,$R$2:$R$11,0))</f>
        <v>0.37</v>
      </c>
      <c r="KYF73" s="49">
        <f t="shared" si="252"/>
        <v>50</v>
      </c>
      <c r="KYG73" s="57">
        <f t="shared" si="253"/>
        <v>18.5</v>
      </c>
      <c r="KYH73" s="59" t="s">
        <v>44</v>
      </c>
      <c r="KYI73" s="49" t="s">
        <v>44</v>
      </c>
      <c r="KYJ73" s="51">
        <v>45117</v>
      </c>
      <c r="KYK73" s="49"/>
      <c r="KYL73" s="49" t="s">
        <v>43</v>
      </c>
      <c r="KYM73" s="49" t="s">
        <v>45</v>
      </c>
      <c r="KYN73" s="49" t="s">
        <v>42</v>
      </c>
      <c r="KYO73" s="49" t="s">
        <v>0</v>
      </c>
      <c r="KYP73" s="49">
        <v>0</v>
      </c>
      <c r="KYQ73" s="49">
        <v>1</v>
      </c>
      <c r="KYR73" s="58">
        <v>2.5</v>
      </c>
      <c r="KYS73" s="58">
        <v>5</v>
      </c>
      <c r="KYT73" s="58">
        <v>4</v>
      </c>
      <c r="KYU73" s="49">
        <f>INDEX($T$2:$T$11,MATCH(KYQ73,$R$2:$R$11,0))</f>
        <v>0.37</v>
      </c>
      <c r="KYV73" s="49">
        <f t="shared" si="252"/>
        <v>50</v>
      </c>
      <c r="KYW73" s="57">
        <f t="shared" si="253"/>
        <v>18.5</v>
      </c>
      <c r="KYX73" s="59" t="s">
        <v>44</v>
      </c>
      <c r="KYY73" s="49" t="s">
        <v>44</v>
      </c>
      <c r="KYZ73" s="51">
        <v>45117</v>
      </c>
      <c r="KZA73" s="49"/>
      <c r="KZB73" s="49" t="s">
        <v>43</v>
      </c>
      <c r="KZC73" s="49" t="s">
        <v>45</v>
      </c>
      <c r="KZD73" s="49" t="s">
        <v>42</v>
      </c>
      <c r="KZE73" s="49" t="s">
        <v>0</v>
      </c>
      <c r="KZF73" s="49">
        <v>0</v>
      </c>
      <c r="KZG73" s="49">
        <v>1</v>
      </c>
      <c r="KZH73" s="58">
        <v>2.5</v>
      </c>
      <c r="KZI73" s="58">
        <v>5</v>
      </c>
      <c r="KZJ73" s="58">
        <v>4</v>
      </c>
      <c r="KZK73" s="49">
        <f>INDEX($T$2:$T$11,MATCH(KZG73,$R$2:$R$11,0))</f>
        <v>0.37</v>
      </c>
      <c r="KZL73" s="49">
        <f t="shared" si="252"/>
        <v>50</v>
      </c>
      <c r="KZM73" s="57">
        <f t="shared" si="253"/>
        <v>18.5</v>
      </c>
      <c r="KZN73" s="59" t="s">
        <v>44</v>
      </c>
      <c r="KZO73" s="49" t="s">
        <v>44</v>
      </c>
      <c r="KZP73" s="51">
        <v>45117</v>
      </c>
      <c r="KZQ73" s="49"/>
      <c r="KZR73" s="49" t="s">
        <v>43</v>
      </c>
      <c r="KZS73" s="49" t="s">
        <v>45</v>
      </c>
      <c r="KZT73" s="49" t="s">
        <v>42</v>
      </c>
      <c r="KZU73" s="49" t="s">
        <v>0</v>
      </c>
      <c r="KZV73" s="49">
        <v>0</v>
      </c>
      <c r="KZW73" s="49">
        <v>1</v>
      </c>
      <c r="KZX73" s="58">
        <v>2.5</v>
      </c>
      <c r="KZY73" s="58">
        <v>5</v>
      </c>
      <c r="KZZ73" s="58">
        <v>4</v>
      </c>
      <c r="LAA73" s="49">
        <f>INDEX($T$2:$T$11,MATCH(KZW73,$R$2:$R$11,0))</f>
        <v>0.37</v>
      </c>
      <c r="LAB73" s="49">
        <f t="shared" ref="LAB73:LBX73" si="254">KZX73*KZY73*KZZ73</f>
        <v>50</v>
      </c>
      <c r="LAC73" s="57">
        <f t="shared" ref="LAC73:LBY73" si="255">LAA73*LAB73</f>
        <v>18.5</v>
      </c>
      <c r="LAD73" s="59" t="s">
        <v>44</v>
      </c>
      <c r="LAE73" s="49" t="s">
        <v>44</v>
      </c>
      <c r="LAF73" s="51">
        <v>45117</v>
      </c>
      <c r="LAG73" s="49"/>
      <c r="LAH73" s="49" t="s">
        <v>43</v>
      </c>
      <c r="LAI73" s="49" t="s">
        <v>45</v>
      </c>
      <c r="LAJ73" s="49" t="s">
        <v>42</v>
      </c>
      <c r="LAK73" s="49" t="s">
        <v>0</v>
      </c>
      <c r="LAL73" s="49">
        <v>0</v>
      </c>
      <c r="LAM73" s="49">
        <v>1</v>
      </c>
      <c r="LAN73" s="58">
        <v>2.5</v>
      </c>
      <c r="LAO73" s="58">
        <v>5</v>
      </c>
      <c r="LAP73" s="58">
        <v>4</v>
      </c>
      <c r="LAQ73" s="49">
        <f>INDEX($T$2:$T$11,MATCH(LAM73,$R$2:$R$11,0))</f>
        <v>0.37</v>
      </c>
      <c r="LAR73" s="49">
        <f t="shared" si="254"/>
        <v>50</v>
      </c>
      <c r="LAS73" s="57">
        <f t="shared" si="255"/>
        <v>18.5</v>
      </c>
      <c r="LAT73" s="59" t="s">
        <v>44</v>
      </c>
      <c r="LAU73" s="49" t="s">
        <v>44</v>
      </c>
      <c r="LAV73" s="51">
        <v>45117</v>
      </c>
      <c r="LAW73" s="49"/>
      <c r="LAX73" s="49" t="s">
        <v>43</v>
      </c>
      <c r="LAY73" s="49" t="s">
        <v>45</v>
      </c>
      <c r="LAZ73" s="49" t="s">
        <v>42</v>
      </c>
      <c r="LBA73" s="49" t="s">
        <v>0</v>
      </c>
      <c r="LBB73" s="49">
        <v>0</v>
      </c>
      <c r="LBC73" s="49">
        <v>1</v>
      </c>
      <c r="LBD73" s="58">
        <v>2.5</v>
      </c>
      <c r="LBE73" s="58">
        <v>5</v>
      </c>
      <c r="LBF73" s="58">
        <v>4</v>
      </c>
      <c r="LBG73" s="49">
        <f>INDEX($T$2:$T$11,MATCH(LBC73,$R$2:$R$11,0))</f>
        <v>0.37</v>
      </c>
      <c r="LBH73" s="49">
        <f t="shared" si="254"/>
        <v>50</v>
      </c>
      <c r="LBI73" s="57">
        <f t="shared" si="255"/>
        <v>18.5</v>
      </c>
      <c r="LBJ73" s="59" t="s">
        <v>44</v>
      </c>
      <c r="LBK73" s="49" t="s">
        <v>44</v>
      </c>
      <c r="LBL73" s="51">
        <v>45117</v>
      </c>
      <c r="LBM73" s="49"/>
      <c r="LBN73" s="49" t="s">
        <v>43</v>
      </c>
      <c r="LBO73" s="49" t="s">
        <v>45</v>
      </c>
      <c r="LBP73" s="49" t="s">
        <v>42</v>
      </c>
      <c r="LBQ73" s="49" t="s">
        <v>0</v>
      </c>
      <c r="LBR73" s="49">
        <v>0</v>
      </c>
      <c r="LBS73" s="49">
        <v>1</v>
      </c>
      <c r="LBT73" s="58">
        <v>2.5</v>
      </c>
      <c r="LBU73" s="58">
        <v>5</v>
      </c>
      <c r="LBV73" s="58">
        <v>4</v>
      </c>
      <c r="LBW73" s="49">
        <f>INDEX($T$2:$T$11,MATCH(LBS73,$R$2:$R$11,0))</f>
        <v>0.37</v>
      </c>
      <c r="LBX73" s="49">
        <f t="shared" si="254"/>
        <v>50</v>
      </c>
      <c r="LBY73" s="57">
        <f t="shared" si="255"/>
        <v>18.5</v>
      </c>
      <c r="LBZ73" s="59" t="s">
        <v>44</v>
      </c>
      <c r="LCA73" s="49" t="s">
        <v>44</v>
      </c>
      <c r="LCB73" s="51">
        <v>45117</v>
      </c>
      <c r="LCC73" s="49"/>
      <c r="LCD73" s="49" t="s">
        <v>43</v>
      </c>
      <c r="LCE73" s="49" t="s">
        <v>45</v>
      </c>
      <c r="LCF73" s="49" t="s">
        <v>42</v>
      </c>
      <c r="LCG73" s="49" t="s">
        <v>0</v>
      </c>
      <c r="LCH73" s="49">
        <v>0</v>
      </c>
      <c r="LCI73" s="49">
        <v>1</v>
      </c>
      <c r="LCJ73" s="58">
        <v>2.5</v>
      </c>
      <c r="LCK73" s="58">
        <v>5</v>
      </c>
      <c r="LCL73" s="58">
        <v>4</v>
      </c>
      <c r="LCM73" s="49">
        <f>INDEX($T$2:$T$11,MATCH(LCI73,$R$2:$R$11,0))</f>
        <v>0.37</v>
      </c>
      <c r="LCN73" s="49">
        <f t="shared" ref="LCN73:LEJ73" si="256">LCJ73*LCK73*LCL73</f>
        <v>50</v>
      </c>
      <c r="LCO73" s="57">
        <f t="shared" ref="LCO73:LEK73" si="257">LCM73*LCN73</f>
        <v>18.5</v>
      </c>
      <c r="LCP73" s="59" t="s">
        <v>44</v>
      </c>
      <c r="LCQ73" s="49" t="s">
        <v>44</v>
      </c>
      <c r="LCR73" s="51">
        <v>45117</v>
      </c>
      <c r="LCS73" s="49"/>
      <c r="LCT73" s="49" t="s">
        <v>43</v>
      </c>
      <c r="LCU73" s="49" t="s">
        <v>45</v>
      </c>
      <c r="LCV73" s="49" t="s">
        <v>42</v>
      </c>
      <c r="LCW73" s="49" t="s">
        <v>0</v>
      </c>
      <c r="LCX73" s="49">
        <v>0</v>
      </c>
      <c r="LCY73" s="49">
        <v>1</v>
      </c>
      <c r="LCZ73" s="58">
        <v>2.5</v>
      </c>
      <c r="LDA73" s="58">
        <v>5</v>
      </c>
      <c r="LDB73" s="58">
        <v>4</v>
      </c>
      <c r="LDC73" s="49">
        <f>INDEX($T$2:$T$11,MATCH(LCY73,$R$2:$R$11,0))</f>
        <v>0.37</v>
      </c>
      <c r="LDD73" s="49">
        <f t="shared" si="256"/>
        <v>50</v>
      </c>
      <c r="LDE73" s="57">
        <f t="shared" si="257"/>
        <v>18.5</v>
      </c>
      <c r="LDF73" s="59" t="s">
        <v>44</v>
      </c>
      <c r="LDG73" s="49" t="s">
        <v>44</v>
      </c>
      <c r="LDH73" s="51">
        <v>45117</v>
      </c>
      <c r="LDI73" s="49"/>
      <c r="LDJ73" s="49" t="s">
        <v>43</v>
      </c>
      <c r="LDK73" s="49" t="s">
        <v>45</v>
      </c>
      <c r="LDL73" s="49" t="s">
        <v>42</v>
      </c>
      <c r="LDM73" s="49" t="s">
        <v>0</v>
      </c>
      <c r="LDN73" s="49">
        <v>0</v>
      </c>
      <c r="LDO73" s="49">
        <v>1</v>
      </c>
      <c r="LDP73" s="58">
        <v>2.5</v>
      </c>
      <c r="LDQ73" s="58">
        <v>5</v>
      </c>
      <c r="LDR73" s="58">
        <v>4</v>
      </c>
      <c r="LDS73" s="49">
        <f>INDEX($T$2:$T$11,MATCH(LDO73,$R$2:$R$11,0))</f>
        <v>0.37</v>
      </c>
      <c r="LDT73" s="49">
        <f t="shared" si="256"/>
        <v>50</v>
      </c>
      <c r="LDU73" s="57">
        <f t="shared" si="257"/>
        <v>18.5</v>
      </c>
      <c r="LDV73" s="59" t="s">
        <v>44</v>
      </c>
      <c r="LDW73" s="49" t="s">
        <v>44</v>
      </c>
      <c r="LDX73" s="51">
        <v>45117</v>
      </c>
      <c r="LDY73" s="49"/>
      <c r="LDZ73" s="49" t="s">
        <v>43</v>
      </c>
      <c r="LEA73" s="49" t="s">
        <v>45</v>
      </c>
      <c r="LEB73" s="49" t="s">
        <v>42</v>
      </c>
      <c r="LEC73" s="49" t="s">
        <v>0</v>
      </c>
      <c r="LED73" s="49">
        <v>0</v>
      </c>
      <c r="LEE73" s="49">
        <v>1</v>
      </c>
      <c r="LEF73" s="58">
        <v>2.5</v>
      </c>
      <c r="LEG73" s="58">
        <v>5</v>
      </c>
      <c r="LEH73" s="58">
        <v>4</v>
      </c>
      <c r="LEI73" s="49">
        <f>INDEX($T$2:$T$11,MATCH(LEE73,$R$2:$R$11,0))</f>
        <v>0.37</v>
      </c>
      <c r="LEJ73" s="49">
        <f t="shared" si="256"/>
        <v>50</v>
      </c>
      <c r="LEK73" s="57">
        <f t="shared" si="257"/>
        <v>18.5</v>
      </c>
      <c r="LEL73" s="59" t="s">
        <v>44</v>
      </c>
      <c r="LEM73" s="49" t="s">
        <v>44</v>
      </c>
      <c r="LEN73" s="51">
        <v>45117</v>
      </c>
      <c r="LEO73" s="49"/>
      <c r="LEP73" s="49" t="s">
        <v>43</v>
      </c>
      <c r="LEQ73" s="49" t="s">
        <v>45</v>
      </c>
      <c r="LER73" s="49" t="s">
        <v>42</v>
      </c>
      <c r="LES73" s="49" t="s">
        <v>0</v>
      </c>
      <c r="LET73" s="49">
        <v>0</v>
      </c>
      <c r="LEU73" s="49">
        <v>1</v>
      </c>
      <c r="LEV73" s="58">
        <v>2.5</v>
      </c>
      <c r="LEW73" s="58">
        <v>5</v>
      </c>
      <c r="LEX73" s="58">
        <v>4</v>
      </c>
      <c r="LEY73" s="49">
        <f>INDEX($T$2:$T$11,MATCH(LEU73,$R$2:$R$11,0))</f>
        <v>0.37</v>
      </c>
      <c r="LEZ73" s="49">
        <f t="shared" ref="LEZ73:LGV73" si="258">LEV73*LEW73*LEX73</f>
        <v>50</v>
      </c>
      <c r="LFA73" s="57">
        <f t="shared" ref="LFA73:LGW73" si="259">LEY73*LEZ73</f>
        <v>18.5</v>
      </c>
      <c r="LFB73" s="59" t="s">
        <v>44</v>
      </c>
      <c r="LFC73" s="49" t="s">
        <v>44</v>
      </c>
      <c r="LFD73" s="51">
        <v>45117</v>
      </c>
      <c r="LFE73" s="49"/>
      <c r="LFF73" s="49" t="s">
        <v>43</v>
      </c>
      <c r="LFG73" s="49" t="s">
        <v>45</v>
      </c>
      <c r="LFH73" s="49" t="s">
        <v>42</v>
      </c>
      <c r="LFI73" s="49" t="s">
        <v>0</v>
      </c>
      <c r="LFJ73" s="49">
        <v>0</v>
      </c>
      <c r="LFK73" s="49">
        <v>1</v>
      </c>
      <c r="LFL73" s="58">
        <v>2.5</v>
      </c>
      <c r="LFM73" s="58">
        <v>5</v>
      </c>
      <c r="LFN73" s="58">
        <v>4</v>
      </c>
      <c r="LFO73" s="49">
        <f>INDEX($T$2:$T$11,MATCH(LFK73,$R$2:$R$11,0))</f>
        <v>0.37</v>
      </c>
      <c r="LFP73" s="49">
        <f t="shared" si="258"/>
        <v>50</v>
      </c>
      <c r="LFQ73" s="57">
        <f t="shared" si="259"/>
        <v>18.5</v>
      </c>
      <c r="LFR73" s="59" t="s">
        <v>44</v>
      </c>
      <c r="LFS73" s="49" t="s">
        <v>44</v>
      </c>
      <c r="LFT73" s="51">
        <v>45117</v>
      </c>
      <c r="LFU73" s="49"/>
      <c r="LFV73" s="49" t="s">
        <v>43</v>
      </c>
      <c r="LFW73" s="49" t="s">
        <v>45</v>
      </c>
      <c r="LFX73" s="49" t="s">
        <v>42</v>
      </c>
      <c r="LFY73" s="49" t="s">
        <v>0</v>
      </c>
      <c r="LFZ73" s="49">
        <v>0</v>
      </c>
      <c r="LGA73" s="49">
        <v>1</v>
      </c>
      <c r="LGB73" s="58">
        <v>2.5</v>
      </c>
      <c r="LGC73" s="58">
        <v>5</v>
      </c>
      <c r="LGD73" s="58">
        <v>4</v>
      </c>
      <c r="LGE73" s="49">
        <f>INDEX($T$2:$T$11,MATCH(LGA73,$R$2:$R$11,0))</f>
        <v>0.37</v>
      </c>
      <c r="LGF73" s="49">
        <f t="shared" si="258"/>
        <v>50</v>
      </c>
      <c r="LGG73" s="57">
        <f t="shared" si="259"/>
        <v>18.5</v>
      </c>
      <c r="LGH73" s="59" t="s">
        <v>44</v>
      </c>
      <c r="LGI73" s="49" t="s">
        <v>44</v>
      </c>
      <c r="LGJ73" s="51">
        <v>45117</v>
      </c>
      <c r="LGK73" s="49"/>
      <c r="LGL73" s="49" t="s">
        <v>43</v>
      </c>
      <c r="LGM73" s="49" t="s">
        <v>45</v>
      </c>
      <c r="LGN73" s="49" t="s">
        <v>42</v>
      </c>
      <c r="LGO73" s="49" t="s">
        <v>0</v>
      </c>
      <c r="LGP73" s="49">
        <v>0</v>
      </c>
      <c r="LGQ73" s="49">
        <v>1</v>
      </c>
      <c r="LGR73" s="58">
        <v>2.5</v>
      </c>
      <c r="LGS73" s="58">
        <v>5</v>
      </c>
      <c r="LGT73" s="58">
        <v>4</v>
      </c>
      <c r="LGU73" s="49">
        <f>INDEX($T$2:$T$11,MATCH(LGQ73,$R$2:$R$11,0))</f>
        <v>0.37</v>
      </c>
      <c r="LGV73" s="49">
        <f t="shared" si="258"/>
        <v>50</v>
      </c>
      <c r="LGW73" s="57">
        <f t="shared" si="259"/>
        <v>18.5</v>
      </c>
      <c r="LGX73" s="59" t="s">
        <v>44</v>
      </c>
      <c r="LGY73" s="49" t="s">
        <v>44</v>
      </c>
      <c r="LGZ73" s="51">
        <v>45117</v>
      </c>
      <c r="LHA73" s="49"/>
      <c r="LHB73" s="49" t="s">
        <v>43</v>
      </c>
      <c r="LHC73" s="49" t="s">
        <v>45</v>
      </c>
      <c r="LHD73" s="49" t="s">
        <v>42</v>
      </c>
      <c r="LHE73" s="49" t="s">
        <v>0</v>
      </c>
      <c r="LHF73" s="49">
        <v>0</v>
      </c>
      <c r="LHG73" s="49">
        <v>1</v>
      </c>
      <c r="LHH73" s="58">
        <v>2.5</v>
      </c>
      <c r="LHI73" s="58">
        <v>5</v>
      </c>
      <c r="LHJ73" s="58">
        <v>4</v>
      </c>
      <c r="LHK73" s="49">
        <f>INDEX($T$2:$T$11,MATCH(LHG73,$R$2:$R$11,0))</f>
        <v>0.37</v>
      </c>
      <c r="LHL73" s="49">
        <f t="shared" ref="LHL73:LJH73" si="260">LHH73*LHI73*LHJ73</f>
        <v>50</v>
      </c>
      <c r="LHM73" s="57">
        <f t="shared" ref="LHM73:LJI73" si="261">LHK73*LHL73</f>
        <v>18.5</v>
      </c>
      <c r="LHN73" s="59" t="s">
        <v>44</v>
      </c>
      <c r="LHO73" s="49" t="s">
        <v>44</v>
      </c>
      <c r="LHP73" s="51">
        <v>45117</v>
      </c>
      <c r="LHQ73" s="49"/>
      <c r="LHR73" s="49" t="s">
        <v>43</v>
      </c>
      <c r="LHS73" s="49" t="s">
        <v>45</v>
      </c>
      <c r="LHT73" s="49" t="s">
        <v>42</v>
      </c>
      <c r="LHU73" s="49" t="s">
        <v>0</v>
      </c>
      <c r="LHV73" s="49">
        <v>0</v>
      </c>
      <c r="LHW73" s="49">
        <v>1</v>
      </c>
      <c r="LHX73" s="58">
        <v>2.5</v>
      </c>
      <c r="LHY73" s="58">
        <v>5</v>
      </c>
      <c r="LHZ73" s="58">
        <v>4</v>
      </c>
      <c r="LIA73" s="49">
        <f>INDEX($T$2:$T$11,MATCH(LHW73,$R$2:$R$11,0))</f>
        <v>0.37</v>
      </c>
      <c r="LIB73" s="49">
        <f t="shared" si="260"/>
        <v>50</v>
      </c>
      <c r="LIC73" s="57">
        <f t="shared" si="261"/>
        <v>18.5</v>
      </c>
      <c r="LID73" s="59" t="s">
        <v>44</v>
      </c>
      <c r="LIE73" s="49" t="s">
        <v>44</v>
      </c>
      <c r="LIF73" s="51">
        <v>45117</v>
      </c>
      <c r="LIG73" s="49"/>
      <c r="LIH73" s="49" t="s">
        <v>43</v>
      </c>
      <c r="LII73" s="49" t="s">
        <v>45</v>
      </c>
      <c r="LIJ73" s="49" t="s">
        <v>42</v>
      </c>
      <c r="LIK73" s="49" t="s">
        <v>0</v>
      </c>
      <c r="LIL73" s="49">
        <v>0</v>
      </c>
      <c r="LIM73" s="49">
        <v>1</v>
      </c>
      <c r="LIN73" s="58">
        <v>2.5</v>
      </c>
      <c r="LIO73" s="58">
        <v>5</v>
      </c>
      <c r="LIP73" s="58">
        <v>4</v>
      </c>
      <c r="LIQ73" s="49">
        <f>INDEX($T$2:$T$11,MATCH(LIM73,$R$2:$R$11,0))</f>
        <v>0.37</v>
      </c>
      <c r="LIR73" s="49">
        <f t="shared" si="260"/>
        <v>50</v>
      </c>
      <c r="LIS73" s="57">
        <f t="shared" si="261"/>
        <v>18.5</v>
      </c>
      <c r="LIT73" s="59" t="s">
        <v>44</v>
      </c>
      <c r="LIU73" s="49" t="s">
        <v>44</v>
      </c>
      <c r="LIV73" s="51">
        <v>45117</v>
      </c>
      <c r="LIW73" s="49"/>
      <c r="LIX73" s="49" t="s">
        <v>43</v>
      </c>
      <c r="LIY73" s="49" t="s">
        <v>45</v>
      </c>
      <c r="LIZ73" s="49" t="s">
        <v>42</v>
      </c>
      <c r="LJA73" s="49" t="s">
        <v>0</v>
      </c>
      <c r="LJB73" s="49">
        <v>0</v>
      </c>
      <c r="LJC73" s="49">
        <v>1</v>
      </c>
      <c r="LJD73" s="58">
        <v>2.5</v>
      </c>
      <c r="LJE73" s="58">
        <v>5</v>
      </c>
      <c r="LJF73" s="58">
        <v>4</v>
      </c>
      <c r="LJG73" s="49">
        <f>INDEX($T$2:$T$11,MATCH(LJC73,$R$2:$R$11,0))</f>
        <v>0.37</v>
      </c>
      <c r="LJH73" s="49">
        <f t="shared" si="260"/>
        <v>50</v>
      </c>
      <c r="LJI73" s="57">
        <f t="shared" si="261"/>
        <v>18.5</v>
      </c>
      <c r="LJJ73" s="59" t="s">
        <v>44</v>
      </c>
      <c r="LJK73" s="49" t="s">
        <v>44</v>
      </c>
      <c r="LJL73" s="51">
        <v>45117</v>
      </c>
      <c r="LJM73" s="49"/>
      <c r="LJN73" s="49" t="s">
        <v>43</v>
      </c>
      <c r="LJO73" s="49" t="s">
        <v>45</v>
      </c>
      <c r="LJP73" s="49" t="s">
        <v>42</v>
      </c>
      <c r="LJQ73" s="49" t="s">
        <v>0</v>
      </c>
      <c r="LJR73" s="49">
        <v>0</v>
      </c>
      <c r="LJS73" s="49">
        <v>1</v>
      </c>
      <c r="LJT73" s="58">
        <v>2.5</v>
      </c>
      <c r="LJU73" s="58">
        <v>5</v>
      </c>
      <c r="LJV73" s="58">
        <v>4</v>
      </c>
      <c r="LJW73" s="49">
        <f>INDEX($T$2:$T$11,MATCH(LJS73,$R$2:$R$11,0))</f>
        <v>0.37</v>
      </c>
      <c r="LJX73" s="49">
        <f t="shared" ref="LJX73:LLT73" si="262">LJT73*LJU73*LJV73</f>
        <v>50</v>
      </c>
      <c r="LJY73" s="57">
        <f t="shared" ref="LJY73:LLU73" si="263">LJW73*LJX73</f>
        <v>18.5</v>
      </c>
      <c r="LJZ73" s="59" t="s">
        <v>44</v>
      </c>
      <c r="LKA73" s="49" t="s">
        <v>44</v>
      </c>
      <c r="LKB73" s="51">
        <v>45117</v>
      </c>
      <c r="LKC73" s="49"/>
      <c r="LKD73" s="49" t="s">
        <v>43</v>
      </c>
      <c r="LKE73" s="49" t="s">
        <v>45</v>
      </c>
      <c r="LKF73" s="49" t="s">
        <v>42</v>
      </c>
      <c r="LKG73" s="49" t="s">
        <v>0</v>
      </c>
      <c r="LKH73" s="49">
        <v>0</v>
      </c>
      <c r="LKI73" s="49">
        <v>1</v>
      </c>
      <c r="LKJ73" s="58">
        <v>2.5</v>
      </c>
      <c r="LKK73" s="58">
        <v>5</v>
      </c>
      <c r="LKL73" s="58">
        <v>4</v>
      </c>
      <c r="LKM73" s="49">
        <f>INDEX($T$2:$T$11,MATCH(LKI73,$R$2:$R$11,0))</f>
        <v>0.37</v>
      </c>
      <c r="LKN73" s="49">
        <f t="shared" si="262"/>
        <v>50</v>
      </c>
      <c r="LKO73" s="57">
        <f t="shared" si="263"/>
        <v>18.5</v>
      </c>
      <c r="LKP73" s="59" t="s">
        <v>44</v>
      </c>
      <c r="LKQ73" s="49" t="s">
        <v>44</v>
      </c>
      <c r="LKR73" s="51">
        <v>45117</v>
      </c>
      <c r="LKS73" s="49"/>
      <c r="LKT73" s="49" t="s">
        <v>43</v>
      </c>
      <c r="LKU73" s="49" t="s">
        <v>45</v>
      </c>
      <c r="LKV73" s="49" t="s">
        <v>42</v>
      </c>
      <c r="LKW73" s="49" t="s">
        <v>0</v>
      </c>
      <c r="LKX73" s="49">
        <v>0</v>
      </c>
      <c r="LKY73" s="49">
        <v>1</v>
      </c>
      <c r="LKZ73" s="58">
        <v>2.5</v>
      </c>
      <c r="LLA73" s="58">
        <v>5</v>
      </c>
      <c r="LLB73" s="58">
        <v>4</v>
      </c>
      <c r="LLC73" s="49">
        <f>INDEX($T$2:$T$11,MATCH(LKY73,$R$2:$R$11,0))</f>
        <v>0.37</v>
      </c>
      <c r="LLD73" s="49">
        <f t="shared" si="262"/>
        <v>50</v>
      </c>
      <c r="LLE73" s="57">
        <f t="shared" si="263"/>
        <v>18.5</v>
      </c>
      <c r="LLF73" s="59" t="s">
        <v>44</v>
      </c>
      <c r="LLG73" s="49" t="s">
        <v>44</v>
      </c>
      <c r="LLH73" s="51">
        <v>45117</v>
      </c>
      <c r="LLI73" s="49"/>
      <c r="LLJ73" s="49" t="s">
        <v>43</v>
      </c>
      <c r="LLK73" s="49" t="s">
        <v>45</v>
      </c>
      <c r="LLL73" s="49" t="s">
        <v>42</v>
      </c>
      <c r="LLM73" s="49" t="s">
        <v>0</v>
      </c>
      <c r="LLN73" s="49">
        <v>0</v>
      </c>
      <c r="LLO73" s="49">
        <v>1</v>
      </c>
      <c r="LLP73" s="58">
        <v>2.5</v>
      </c>
      <c r="LLQ73" s="58">
        <v>5</v>
      </c>
      <c r="LLR73" s="58">
        <v>4</v>
      </c>
      <c r="LLS73" s="49">
        <f>INDEX($T$2:$T$11,MATCH(LLO73,$R$2:$R$11,0))</f>
        <v>0.37</v>
      </c>
      <c r="LLT73" s="49">
        <f t="shared" si="262"/>
        <v>50</v>
      </c>
      <c r="LLU73" s="57">
        <f t="shared" si="263"/>
        <v>18.5</v>
      </c>
      <c r="LLV73" s="59" t="s">
        <v>44</v>
      </c>
      <c r="LLW73" s="49" t="s">
        <v>44</v>
      </c>
      <c r="LLX73" s="51">
        <v>45117</v>
      </c>
      <c r="LLY73" s="49"/>
      <c r="LLZ73" s="49" t="s">
        <v>43</v>
      </c>
      <c r="LMA73" s="49" t="s">
        <v>45</v>
      </c>
      <c r="LMB73" s="49" t="s">
        <v>42</v>
      </c>
      <c r="LMC73" s="49" t="s">
        <v>0</v>
      </c>
      <c r="LMD73" s="49">
        <v>0</v>
      </c>
      <c r="LME73" s="49">
        <v>1</v>
      </c>
      <c r="LMF73" s="58">
        <v>2.5</v>
      </c>
      <c r="LMG73" s="58">
        <v>5</v>
      </c>
      <c r="LMH73" s="58">
        <v>4</v>
      </c>
      <c r="LMI73" s="49">
        <f>INDEX($T$2:$T$11,MATCH(LME73,$R$2:$R$11,0))</f>
        <v>0.37</v>
      </c>
      <c r="LMJ73" s="49">
        <f t="shared" ref="LMJ73:LOF73" si="264">LMF73*LMG73*LMH73</f>
        <v>50</v>
      </c>
      <c r="LMK73" s="57">
        <f t="shared" ref="LMK73:LOG73" si="265">LMI73*LMJ73</f>
        <v>18.5</v>
      </c>
      <c r="LML73" s="59" t="s">
        <v>44</v>
      </c>
      <c r="LMM73" s="49" t="s">
        <v>44</v>
      </c>
      <c r="LMN73" s="51">
        <v>45117</v>
      </c>
      <c r="LMO73" s="49"/>
      <c r="LMP73" s="49" t="s">
        <v>43</v>
      </c>
      <c r="LMQ73" s="49" t="s">
        <v>45</v>
      </c>
      <c r="LMR73" s="49" t="s">
        <v>42</v>
      </c>
      <c r="LMS73" s="49" t="s">
        <v>0</v>
      </c>
      <c r="LMT73" s="49">
        <v>0</v>
      </c>
      <c r="LMU73" s="49">
        <v>1</v>
      </c>
      <c r="LMV73" s="58">
        <v>2.5</v>
      </c>
      <c r="LMW73" s="58">
        <v>5</v>
      </c>
      <c r="LMX73" s="58">
        <v>4</v>
      </c>
      <c r="LMY73" s="49">
        <f>INDEX($T$2:$T$11,MATCH(LMU73,$R$2:$R$11,0))</f>
        <v>0.37</v>
      </c>
      <c r="LMZ73" s="49">
        <f t="shared" si="264"/>
        <v>50</v>
      </c>
      <c r="LNA73" s="57">
        <f t="shared" si="265"/>
        <v>18.5</v>
      </c>
      <c r="LNB73" s="59" t="s">
        <v>44</v>
      </c>
      <c r="LNC73" s="49" t="s">
        <v>44</v>
      </c>
      <c r="LND73" s="51">
        <v>45117</v>
      </c>
      <c r="LNE73" s="49"/>
      <c r="LNF73" s="49" t="s">
        <v>43</v>
      </c>
      <c r="LNG73" s="49" t="s">
        <v>45</v>
      </c>
      <c r="LNH73" s="49" t="s">
        <v>42</v>
      </c>
      <c r="LNI73" s="49" t="s">
        <v>0</v>
      </c>
      <c r="LNJ73" s="49">
        <v>0</v>
      </c>
      <c r="LNK73" s="49">
        <v>1</v>
      </c>
      <c r="LNL73" s="58">
        <v>2.5</v>
      </c>
      <c r="LNM73" s="58">
        <v>5</v>
      </c>
      <c r="LNN73" s="58">
        <v>4</v>
      </c>
      <c r="LNO73" s="49">
        <f>INDEX($T$2:$T$11,MATCH(LNK73,$R$2:$R$11,0))</f>
        <v>0.37</v>
      </c>
      <c r="LNP73" s="49">
        <f t="shared" si="264"/>
        <v>50</v>
      </c>
      <c r="LNQ73" s="57">
        <f t="shared" si="265"/>
        <v>18.5</v>
      </c>
      <c r="LNR73" s="59" t="s">
        <v>44</v>
      </c>
      <c r="LNS73" s="49" t="s">
        <v>44</v>
      </c>
      <c r="LNT73" s="51">
        <v>45117</v>
      </c>
      <c r="LNU73" s="49"/>
      <c r="LNV73" s="49" t="s">
        <v>43</v>
      </c>
      <c r="LNW73" s="49" t="s">
        <v>45</v>
      </c>
      <c r="LNX73" s="49" t="s">
        <v>42</v>
      </c>
      <c r="LNY73" s="49" t="s">
        <v>0</v>
      </c>
      <c r="LNZ73" s="49">
        <v>0</v>
      </c>
      <c r="LOA73" s="49">
        <v>1</v>
      </c>
      <c r="LOB73" s="58">
        <v>2.5</v>
      </c>
      <c r="LOC73" s="58">
        <v>5</v>
      </c>
      <c r="LOD73" s="58">
        <v>4</v>
      </c>
      <c r="LOE73" s="49">
        <f>INDEX($T$2:$T$11,MATCH(LOA73,$R$2:$R$11,0))</f>
        <v>0.37</v>
      </c>
      <c r="LOF73" s="49">
        <f t="shared" si="264"/>
        <v>50</v>
      </c>
      <c r="LOG73" s="57">
        <f t="shared" si="265"/>
        <v>18.5</v>
      </c>
      <c r="LOH73" s="59" t="s">
        <v>44</v>
      </c>
      <c r="LOI73" s="49" t="s">
        <v>44</v>
      </c>
      <c r="LOJ73" s="51">
        <v>45117</v>
      </c>
      <c r="LOK73" s="49"/>
      <c r="LOL73" s="49" t="s">
        <v>43</v>
      </c>
      <c r="LOM73" s="49" t="s">
        <v>45</v>
      </c>
      <c r="LON73" s="49" t="s">
        <v>42</v>
      </c>
      <c r="LOO73" s="49" t="s">
        <v>0</v>
      </c>
      <c r="LOP73" s="49">
        <v>0</v>
      </c>
      <c r="LOQ73" s="49">
        <v>1</v>
      </c>
      <c r="LOR73" s="58">
        <v>2.5</v>
      </c>
      <c r="LOS73" s="58">
        <v>5</v>
      </c>
      <c r="LOT73" s="58">
        <v>4</v>
      </c>
      <c r="LOU73" s="49">
        <f>INDEX($T$2:$T$11,MATCH(LOQ73,$R$2:$R$11,0))</f>
        <v>0.37</v>
      </c>
      <c r="LOV73" s="49">
        <f t="shared" ref="LOV73:LQR73" si="266">LOR73*LOS73*LOT73</f>
        <v>50</v>
      </c>
      <c r="LOW73" s="57">
        <f t="shared" ref="LOW73:LQS73" si="267">LOU73*LOV73</f>
        <v>18.5</v>
      </c>
      <c r="LOX73" s="59" t="s">
        <v>44</v>
      </c>
      <c r="LOY73" s="49" t="s">
        <v>44</v>
      </c>
      <c r="LOZ73" s="51">
        <v>45117</v>
      </c>
      <c r="LPA73" s="49"/>
      <c r="LPB73" s="49" t="s">
        <v>43</v>
      </c>
      <c r="LPC73" s="49" t="s">
        <v>45</v>
      </c>
      <c r="LPD73" s="49" t="s">
        <v>42</v>
      </c>
      <c r="LPE73" s="49" t="s">
        <v>0</v>
      </c>
      <c r="LPF73" s="49">
        <v>0</v>
      </c>
      <c r="LPG73" s="49">
        <v>1</v>
      </c>
      <c r="LPH73" s="58">
        <v>2.5</v>
      </c>
      <c r="LPI73" s="58">
        <v>5</v>
      </c>
      <c r="LPJ73" s="58">
        <v>4</v>
      </c>
      <c r="LPK73" s="49">
        <f>INDEX($T$2:$T$11,MATCH(LPG73,$R$2:$R$11,0))</f>
        <v>0.37</v>
      </c>
      <c r="LPL73" s="49">
        <f t="shared" si="266"/>
        <v>50</v>
      </c>
      <c r="LPM73" s="57">
        <f t="shared" si="267"/>
        <v>18.5</v>
      </c>
      <c r="LPN73" s="59" t="s">
        <v>44</v>
      </c>
      <c r="LPO73" s="49" t="s">
        <v>44</v>
      </c>
      <c r="LPP73" s="51">
        <v>45117</v>
      </c>
      <c r="LPQ73" s="49"/>
      <c r="LPR73" s="49" t="s">
        <v>43</v>
      </c>
      <c r="LPS73" s="49" t="s">
        <v>45</v>
      </c>
      <c r="LPT73" s="49" t="s">
        <v>42</v>
      </c>
      <c r="LPU73" s="49" t="s">
        <v>0</v>
      </c>
      <c r="LPV73" s="49">
        <v>0</v>
      </c>
      <c r="LPW73" s="49">
        <v>1</v>
      </c>
      <c r="LPX73" s="58">
        <v>2.5</v>
      </c>
      <c r="LPY73" s="58">
        <v>5</v>
      </c>
      <c r="LPZ73" s="58">
        <v>4</v>
      </c>
      <c r="LQA73" s="49">
        <f>INDEX($T$2:$T$11,MATCH(LPW73,$R$2:$R$11,0))</f>
        <v>0.37</v>
      </c>
      <c r="LQB73" s="49">
        <f t="shared" si="266"/>
        <v>50</v>
      </c>
      <c r="LQC73" s="57">
        <f t="shared" si="267"/>
        <v>18.5</v>
      </c>
      <c r="LQD73" s="59" t="s">
        <v>44</v>
      </c>
      <c r="LQE73" s="49" t="s">
        <v>44</v>
      </c>
      <c r="LQF73" s="51">
        <v>45117</v>
      </c>
      <c r="LQG73" s="49"/>
      <c r="LQH73" s="49" t="s">
        <v>43</v>
      </c>
      <c r="LQI73" s="49" t="s">
        <v>45</v>
      </c>
      <c r="LQJ73" s="49" t="s">
        <v>42</v>
      </c>
      <c r="LQK73" s="49" t="s">
        <v>0</v>
      </c>
      <c r="LQL73" s="49">
        <v>0</v>
      </c>
      <c r="LQM73" s="49">
        <v>1</v>
      </c>
      <c r="LQN73" s="58">
        <v>2.5</v>
      </c>
      <c r="LQO73" s="58">
        <v>5</v>
      </c>
      <c r="LQP73" s="58">
        <v>4</v>
      </c>
      <c r="LQQ73" s="49">
        <f>INDEX($T$2:$T$11,MATCH(LQM73,$R$2:$R$11,0))</f>
        <v>0.37</v>
      </c>
      <c r="LQR73" s="49">
        <f t="shared" si="266"/>
        <v>50</v>
      </c>
      <c r="LQS73" s="57">
        <f t="shared" si="267"/>
        <v>18.5</v>
      </c>
      <c r="LQT73" s="59" t="s">
        <v>44</v>
      </c>
      <c r="LQU73" s="49" t="s">
        <v>44</v>
      </c>
      <c r="LQV73" s="51">
        <v>45117</v>
      </c>
      <c r="LQW73" s="49"/>
      <c r="LQX73" s="49" t="s">
        <v>43</v>
      </c>
      <c r="LQY73" s="49" t="s">
        <v>45</v>
      </c>
      <c r="LQZ73" s="49" t="s">
        <v>42</v>
      </c>
      <c r="LRA73" s="49" t="s">
        <v>0</v>
      </c>
      <c r="LRB73" s="49">
        <v>0</v>
      </c>
      <c r="LRC73" s="49">
        <v>1</v>
      </c>
      <c r="LRD73" s="58">
        <v>2.5</v>
      </c>
      <c r="LRE73" s="58">
        <v>5</v>
      </c>
      <c r="LRF73" s="58">
        <v>4</v>
      </c>
      <c r="LRG73" s="49">
        <f>INDEX($T$2:$T$11,MATCH(LRC73,$R$2:$R$11,0))</f>
        <v>0.37</v>
      </c>
      <c r="LRH73" s="49">
        <f t="shared" ref="LRH73:LTD73" si="268">LRD73*LRE73*LRF73</f>
        <v>50</v>
      </c>
      <c r="LRI73" s="57">
        <f t="shared" ref="LRI73:LTE73" si="269">LRG73*LRH73</f>
        <v>18.5</v>
      </c>
      <c r="LRJ73" s="59" t="s">
        <v>44</v>
      </c>
      <c r="LRK73" s="49" t="s">
        <v>44</v>
      </c>
      <c r="LRL73" s="51">
        <v>45117</v>
      </c>
      <c r="LRM73" s="49"/>
      <c r="LRN73" s="49" t="s">
        <v>43</v>
      </c>
      <c r="LRO73" s="49" t="s">
        <v>45</v>
      </c>
      <c r="LRP73" s="49" t="s">
        <v>42</v>
      </c>
      <c r="LRQ73" s="49" t="s">
        <v>0</v>
      </c>
      <c r="LRR73" s="49">
        <v>0</v>
      </c>
      <c r="LRS73" s="49">
        <v>1</v>
      </c>
      <c r="LRT73" s="58">
        <v>2.5</v>
      </c>
      <c r="LRU73" s="58">
        <v>5</v>
      </c>
      <c r="LRV73" s="58">
        <v>4</v>
      </c>
      <c r="LRW73" s="49">
        <f>INDEX($T$2:$T$11,MATCH(LRS73,$R$2:$R$11,0))</f>
        <v>0.37</v>
      </c>
      <c r="LRX73" s="49">
        <f t="shared" si="268"/>
        <v>50</v>
      </c>
      <c r="LRY73" s="57">
        <f t="shared" si="269"/>
        <v>18.5</v>
      </c>
      <c r="LRZ73" s="59" t="s">
        <v>44</v>
      </c>
      <c r="LSA73" s="49" t="s">
        <v>44</v>
      </c>
      <c r="LSB73" s="51">
        <v>45117</v>
      </c>
      <c r="LSC73" s="49"/>
      <c r="LSD73" s="49" t="s">
        <v>43</v>
      </c>
      <c r="LSE73" s="49" t="s">
        <v>45</v>
      </c>
      <c r="LSF73" s="49" t="s">
        <v>42</v>
      </c>
      <c r="LSG73" s="49" t="s">
        <v>0</v>
      </c>
      <c r="LSH73" s="49">
        <v>0</v>
      </c>
      <c r="LSI73" s="49">
        <v>1</v>
      </c>
      <c r="LSJ73" s="58">
        <v>2.5</v>
      </c>
      <c r="LSK73" s="58">
        <v>5</v>
      </c>
      <c r="LSL73" s="58">
        <v>4</v>
      </c>
      <c r="LSM73" s="49">
        <f>INDEX($T$2:$T$11,MATCH(LSI73,$R$2:$R$11,0))</f>
        <v>0.37</v>
      </c>
      <c r="LSN73" s="49">
        <f t="shared" si="268"/>
        <v>50</v>
      </c>
      <c r="LSO73" s="57">
        <f t="shared" si="269"/>
        <v>18.5</v>
      </c>
      <c r="LSP73" s="59" t="s">
        <v>44</v>
      </c>
      <c r="LSQ73" s="49" t="s">
        <v>44</v>
      </c>
      <c r="LSR73" s="51">
        <v>45117</v>
      </c>
      <c r="LSS73" s="49"/>
      <c r="LST73" s="49" t="s">
        <v>43</v>
      </c>
      <c r="LSU73" s="49" t="s">
        <v>45</v>
      </c>
      <c r="LSV73" s="49" t="s">
        <v>42</v>
      </c>
      <c r="LSW73" s="49" t="s">
        <v>0</v>
      </c>
      <c r="LSX73" s="49">
        <v>0</v>
      </c>
      <c r="LSY73" s="49">
        <v>1</v>
      </c>
      <c r="LSZ73" s="58">
        <v>2.5</v>
      </c>
      <c r="LTA73" s="58">
        <v>5</v>
      </c>
      <c r="LTB73" s="58">
        <v>4</v>
      </c>
      <c r="LTC73" s="49">
        <f>INDEX($T$2:$T$11,MATCH(LSY73,$R$2:$R$11,0))</f>
        <v>0.37</v>
      </c>
      <c r="LTD73" s="49">
        <f t="shared" si="268"/>
        <v>50</v>
      </c>
      <c r="LTE73" s="57">
        <f t="shared" si="269"/>
        <v>18.5</v>
      </c>
      <c r="LTF73" s="59" t="s">
        <v>44</v>
      </c>
      <c r="LTG73" s="49" t="s">
        <v>44</v>
      </c>
      <c r="LTH73" s="51">
        <v>45117</v>
      </c>
      <c r="LTI73" s="49"/>
      <c r="LTJ73" s="49" t="s">
        <v>43</v>
      </c>
      <c r="LTK73" s="49" t="s">
        <v>45</v>
      </c>
      <c r="LTL73" s="49" t="s">
        <v>42</v>
      </c>
      <c r="LTM73" s="49" t="s">
        <v>0</v>
      </c>
      <c r="LTN73" s="49">
        <v>0</v>
      </c>
      <c r="LTO73" s="49">
        <v>1</v>
      </c>
      <c r="LTP73" s="58">
        <v>2.5</v>
      </c>
      <c r="LTQ73" s="58">
        <v>5</v>
      </c>
      <c r="LTR73" s="58">
        <v>4</v>
      </c>
      <c r="LTS73" s="49">
        <f>INDEX($T$2:$T$11,MATCH(LTO73,$R$2:$R$11,0))</f>
        <v>0.37</v>
      </c>
      <c r="LTT73" s="49">
        <f t="shared" ref="LTT73:LVP73" si="270">LTP73*LTQ73*LTR73</f>
        <v>50</v>
      </c>
      <c r="LTU73" s="57">
        <f t="shared" ref="LTU73:LVQ73" si="271">LTS73*LTT73</f>
        <v>18.5</v>
      </c>
      <c r="LTV73" s="59" t="s">
        <v>44</v>
      </c>
      <c r="LTW73" s="49" t="s">
        <v>44</v>
      </c>
      <c r="LTX73" s="51">
        <v>45117</v>
      </c>
      <c r="LTY73" s="49"/>
      <c r="LTZ73" s="49" t="s">
        <v>43</v>
      </c>
      <c r="LUA73" s="49" t="s">
        <v>45</v>
      </c>
      <c r="LUB73" s="49" t="s">
        <v>42</v>
      </c>
      <c r="LUC73" s="49" t="s">
        <v>0</v>
      </c>
      <c r="LUD73" s="49">
        <v>0</v>
      </c>
      <c r="LUE73" s="49">
        <v>1</v>
      </c>
      <c r="LUF73" s="58">
        <v>2.5</v>
      </c>
      <c r="LUG73" s="58">
        <v>5</v>
      </c>
      <c r="LUH73" s="58">
        <v>4</v>
      </c>
      <c r="LUI73" s="49">
        <f>INDEX($T$2:$T$11,MATCH(LUE73,$R$2:$R$11,0))</f>
        <v>0.37</v>
      </c>
      <c r="LUJ73" s="49">
        <f t="shared" si="270"/>
        <v>50</v>
      </c>
      <c r="LUK73" s="57">
        <f t="shared" si="271"/>
        <v>18.5</v>
      </c>
      <c r="LUL73" s="59" t="s">
        <v>44</v>
      </c>
      <c r="LUM73" s="49" t="s">
        <v>44</v>
      </c>
      <c r="LUN73" s="51">
        <v>45117</v>
      </c>
      <c r="LUO73" s="49"/>
      <c r="LUP73" s="49" t="s">
        <v>43</v>
      </c>
      <c r="LUQ73" s="49" t="s">
        <v>45</v>
      </c>
      <c r="LUR73" s="49" t="s">
        <v>42</v>
      </c>
      <c r="LUS73" s="49" t="s">
        <v>0</v>
      </c>
      <c r="LUT73" s="49">
        <v>0</v>
      </c>
      <c r="LUU73" s="49">
        <v>1</v>
      </c>
      <c r="LUV73" s="58">
        <v>2.5</v>
      </c>
      <c r="LUW73" s="58">
        <v>5</v>
      </c>
      <c r="LUX73" s="58">
        <v>4</v>
      </c>
      <c r="LUY73" s="49">
        <f>INDEX($T$2:$T$11,MATCH(LUU73,$R$2:$R$11,0))</f>
        <v>0.37</v>
      </c>
      <c r="LUZ73" s="49">
        <f t="shared" si="270"/>
        <v>50</v>
      </c>
      <c r="LVA73" s="57">
        <f t="shared" si="271"/>
        <v>18.5</v>
      </c>
      <c r="LVB73" s="59" t="s">
        <v>44</v>
      </c>
      <c r="LVC73" s="49" t="s">
        <v>44</v>
      </c>
      <c r="LVD73" s="51">
        <v>45117</v>
      </c>
      <c r="LVE73" s="49"/>
      <c r="LVF73" s="49" t="s">
        <v>43</v>
      </c>
      <c r="LVG73" s="49" t="s">
        <v>45</v>
      </c>
      <c r="LVH73" s="49" t="s">
        <v>42</v>
      </c>
      <c r="LVI73" s="49" t="s">
        <v>0</v>
      </c>
      <c r="LVJ73" s="49">
        <v>0</v>
      </c>
      <c r="LVK73" s="49">
        <v>1</v>
      </c>
      <c r="LVL73" s="58">
        <v>2.5</v>
      </c>
      <c r="LVM73" s="58">
        <v>5</v>
      </c>
      <c r="LVN73" s="58">
        <v>4</v>
      </c>
      <c r="LVO73" s="49">
        <f>INDEX($T$2:$T$11,MATCH(LVK73,$R$2:$R$11,0))</f>
        <v>0.37</v>
      </c>
      <c r="LVP73" s="49">
        <f t="shared" si="270"/>
        <v>50</v>
      </c>
      <c r="LVQ73" s="57">
        <f t="shared" si="271"/>
        <v>18.5</v>
      </c>
      <c r="LVR73" s="59" t="s">
        <v>44</v>
      </c>
      <c r="LVS73" s="49" t="s">
        <v>44</v>
      </c>
      <c r="LVT73" s="51">
        <v>45117</v>
      </c>
      <c r="LVU73" s="49"/>
      <c r="LVV73" s="49" t="s">
        <v>43</v>
      </c>
      <c r="LVW73" s="49" t="s">
        <v>45</v>
      </c>
      <c r="LVX73" s="49" t="s">
        <v>42</v>
      </c>
      <c r="LVY73" s="49" t="s">
        <v>0</v>
      </c>
      <c r="LVZ73" s="49">
        <v>0</v>
      </c>
      <c r="LWA73" s="49">
        <v>1</v>
      </c>
      <c r="LWB73" s="58">
        <v>2.5</v>
      </c>
      <c r="LWC73" s="58">
        <v>5</v>
      </c>
      <c r="LWD73" s="58">
        <v>4</v>
      </c>
      <c r="LWE73" s="49">
        <f>INDEX($T$2:$T$11,MATCH(LWA73,$R$2:$R$11,0))</f>
        <v>0.37</v>
      </c>
      <c r="LWF73" s="49">
        <f t="shared" ref="LWF73:LYB73" si="272">LWB73*LWC73*LWD73</f>
        <v>50</v>
      </c>
      <c r="LWG73" s="57">
        <f t="shared" ref="LWG73:LYC73" si="273">LWE73*LWF73</f>
        <v>18.5</v>
      </c>
      <c r="LWH73" s="59" t="s">
        <v>44</v>
      </c>
      <c r="LWI73" s="49" t="s">
        <v>44</v>
      </c>
      <c r="LWJ73" s="51">
        <v>45117</v>
      </c>
      <c r="LWK73" s="49"/>
      <c r="LWL73" s="49" t="s">
        <v>43</v>
      </c>
      <c r="LWM73" s="49" t="s">
        <v>45</v>
      </c>
      <c r="LWN73" s="49" t="s">
        <v>42</v>
      </c>
      <c r="LWO73" s="49" t="s">
        <v>0</v>
      </c>
      <c r="LWP73" s="49">
        <v>0</v>
      </c>
      <c r="LWQ73" s="49">
        <v>1</v>
      </c>
      <c r="LWR73" s="58">
        <v>2.5</v>
      </c>
      <c r="LWS73" s="58">
        <v>5</v>
      </c>
      <c r="LWT73" s="58">
        <v>4</v>
      </c>
      <c r="LWU73" s="49">
        <f>INDEX($T$2:$T$11,MATCH(LWQ73,$R$2:$R$11,0))</f>
        <v>0.37</v>
      </c>
      <c r="LWV73" s="49">
        <f t="shared" si="272"/>
        <v>50</v>
      </c>
      <c r="LWW73" s="57">
        <f t="shared" si="273"/>
        <v>18.5</v>
      </c>
      <c r="LWX73" s="59" t="s">
        <v>44</v>
      </c>
      <c r="LWY73" s="49" t="s">
        <v>44</v>
      </c>
      <c r="LWZ73" s="51">
        <v>45117</v>
      </c>
      <c r="LXA73" s="49"/>
      <c r="LXB73" s="49" t="s">
        <v>43</v>
      </c>
      <c r="LXC73" s="49" t="s">
        <v>45</v>
      </c>
      <c r="LXD73" s="49" t="s">
        <v>42</v>
      </c>
      <c r="LXE73" s="49" t="s">
        <v>0</v>
      </c>
      <c r="LXF73" s="49">
        <v>0</v>
      </c>
      <c r="LXG73" s="49">
        <v>1</v>
      </c>
      <c r="LXH73" s="58">
        <v>2.5</v>
      </c>
      <c r="LXI73" s="58">
        <v>5</v>
      </c>
      <c r="LXJ73" s="58">
        <v>4</v>
      </c>
      <c r="LXK73" s="49">
        <f>INDEX($T$2:$T$11,MATCH(LXG73,$R$2:$R$11,0))</f>
        <v>0.37</v>
      </c>
      <c r="LXL73" s="49">
        <f t="shared" si="272"/>
        <v>50</v>
      </c>
      <c r="LXM73" s="57">
        <f t="shared" si="273"/>
        <v>18.5</v>
      </c>
      <c r="LXN73" s="59" t="s">
        <v>44</v>
      </c>
      <c r="LXO73" s="49" t="s">
        <v>44</v>
      </c>
      <c r="LXP73" s="51">
        <v>45117</v>
      </c>
      <c r="LXQ73" s="49"/>
      <c r="LXR73" s="49" t="s">
        <v>43</v>
      </c>
      <c r="LXS73" s="49" t="s">
        <v>45</v>
      </c>
      <c r="LXT73" s="49" t="s">
        <v>42</v>
      </c>
      <c r="LXU73" s="49" t="s">
        <v>0</v>
      </c>
      <c r="LXV73" s="49">
        <v>0</v>
      </c>
      <c r="LXW73" s="49">
        <v>1</v>
      </c>
      <c r="LXX73" s="58">
        <v>2.5</v>
      </c>
      <c r="LXY73" s="58">
        <v>5</v>
      </c>
      <c r="LXZ73" s="58">
        <v>4</v>
      </c>
      <c r="LYA73" s="49">
        <f>INDEX($T$2:$T$11,MATCH(LXW73,$R$2:$R$11,0))</f>
        <v>0.37</v>
      </c>
      <c r="LYB73" s="49">
        <f t="shared" si="272"/>
        <v>50</v>
      </c>
      <c r="LYC73" s="57">
        <f t="shared" si="273"/>
        <v>18.5</v>
      </c>
      <c r="LYD73" s="59" t="s">
        <v>44</v>
      </c>
      <c r="LYE73" s="49" t="s">
        <v>44</v>
      </c>
      <c r="LYF73" s="51">
        <v>45117</v>
      </c>
      <c r="LYG73" s="49"/>
      <c r="LYH73" s="49" t="s">
        <v>43</v>
      </c>
      <c r="LYI73" s="49" t="s">
        <v>45</v>
      </c>
      <c r="LYJ73" s="49" t="s">
        <v>42</v>
      </c>
      <c r="LYK73" s="49" t="s">
        <v>0</v>
      </c>
      <c r="LYL73" s="49">
        <v>0</v>
      </c>
      <c r="LYM73" s="49">
        <v>1</v>
      </c>
      <c r="LYN73" s="58">
        <v>2.5</v>
      </c>
      <c r="LYO73" s="58">
        <v>5</v>
      </c>
      <c r="LYP73" s="58">
        <v>4</v>
      </c>
      <c r="LYQ73" s="49">
        <f>INDEX($T$2:$T$11,MATCH(LYM73,$R$2:$R$11,0))</f>
        <v>0.37</v>
      </c>
      <c r="LYR73" s="49">
        <f t="shared" ref="LYR73:MAN73" si="274">LYN73*LYO73*LYP73</f>
        <v>50</v>
      </c>
      <c r="LYS73" s="57">
        <f t="shared" ref="LYS73:MAO73" si="275">LYQ73*LYR73</f>
        <v>18.5</v>
      </c>
      <c r="LYT73" s="59" t="s">
        <v>44</v>
      </c>
      <c r="LYU73" s="49" t="s">
        <v>44</v>
      </c>
      <c r="LYV73" s="51">
        <v>45117</v>
      </c>
      <c r="LYW73" s="49"/>
      <c r="LYX73" s="49" t="s">
        <v>43</v>
      </c>
      <c r="LYY73" s="49" t="s">
        <v>45</v>
      </c>
      <c r="LYZ73" s="49" t="s">
        <v>42</v>
      </c>
      <c r="LZA73" s="49" t="s">
        <v>0</v>
      </c>
      <c r="LZB73" s="49">
        <v>0</v>
      </c>
      <c r="LZC73" s="49">
        <v>1</v>
      </c>
      <c r="LZD73" s="58">
        <v>2.5</v>
      </c>
      <c r="LZE73" s="58">
        <v>5</v>
      </c>
      <c r="LZF73" s="58">
        <v>4</v>
      </c>
      <c r="LZG73" s="49">
        <f>INDEX($T$2:$T$11,MATCH(LZC73,$R$2:$R$11,0))</f>
        <v>0.37</v>
      </c>
      <c r="LZH73" s="49">
        <f t="shared" si="274"/>
        <v>50</v>
      </c>
      <c r="LZI73" s="57">
        <f t="shared" si="275"/>
        <v>18.5</v>
      </c>
      <c r="LZJ73" s="59" t="s">
        <v>44</v>
      </c>
      <c r="LZK73" s="49" t="s">
        <v>44</v>
      </c>
      <c r="LZL73" s="51">
        <v>45117</v>
      </c>
      <c r="LZM73" s="49"/>
      <c r="LZN73" s="49" t="s">
        <v>43</v>
      </c>
      <c r="LZO73" s="49" t="s">
        <v>45</v>
      </c>
      <c r="LZP73" s="49" t="s">
        <v>42</v>
      </c>
      <c r="LZQ73" s="49" t="s">
        <v>0</v>
      </c>
      <c r="LZR73" s="49">
        <v>0</v>
      </c>
      <c r="LZS73" s="49">
        <v>1</v>
      </c>
      <c r="LZT73" s="58">
        <v>2.5</v>
      </c>
      <c r="LZU73" s="58">
        <v>5</v>
      </c>
      <c r="LZV73" s="58">
        <v>4</v>
      </c>
      <c r="LZW73" s="49">
        <f>INDEX($T$2:$T$11,MATCH(LZS73,$R$2:$R$11,0))</f>
        <v>0.37</v>
      </c>
      <c r="LZX73" s="49">
        <f t="shared" si="274"/>
        <v>50</v>
      </c>
      <c r="LZY73" s="57">
        <f t="shared" si="275"/>
        <v>18.5</v>
      </c>
      <c r="LZZ73" s="59" t="s">
        <v>44</v>
      </c>
      <c r="MAA73" s="49" t="s">
        <v>44</v>
      </c>
      <c r="MAB73" s="51">
        <v>45117</v>
      </c>
      <c r="MAC73" s="49"/>
      <c r="MAD73" s="49" t="s">
        <v>43</v>
      </c>
      <c r="MAE73" s="49" t="s">
        <v>45</v>
      </c>
      <c r="MAF73" s="49" t="s">
        <v>42</v>
      </c>
      <c r="MAG73" s="49" t="s">
        <v>0</v>
      </c>
      <c r="MAH73" s="49">
        <v>0</v>
      </c>
      <c r="MAI73" s="49">
        <v>1</v>
      </c>
      <c r="MAJ73" s="58">
        <v>2.5</v>
      </c>
      <c r="MAK73" s="58">
        <v>5</v>
      </c>
      <c r="MAL73" s="58">
        <v>4</v>
      </c>
      <c r="MAM73" s="49">
        <f>INDEX($T$2:$T$11,MATCH(MAI73,$R$2:$R$11,0))</f>
        <v>0.37</v>
      </c>
      <c r="MAN73" s="49">
        <f t="shared" si="274"/>
        <v>50</v>
      </c>
      <c r="MAO73" s="57">
        <f t="shared" si="275"/>
        <v>18.5</v>
      </c>
      <c r="MAP73" s="59" t="s">
        <v>44</v>
      </c>
      <c r="MAQ73" s="49" t="s">
        <v>44</v>
      </c>
      <c r="MAR73" s="51">
        <v>45117</v>
      </c>
      <c r="MAS73" s="49"/>
      <c r="MAT73" s="49" t="s">
        <v>43</v>
      </c>
      <c r="MAU73" s="49" t="s">
        <v>45</v>
      </c>
      <c r="MAV73" s="49" t="s">
        <v>42</v>
      </c>
      <c r="MAW73" s="49" t="s">
        <v>0</v>
      </c>
      <c r="MAX73" s="49">
        <v>0</v>
      </c>
      <c r="MAY73" s="49">
        <v>1</v>
      </c>
      <c r="MAZ73" s="58">
        <v>2.5</v>
      </c>
      <c r="MBA73" s="58">
        <v>5</v>
      </c>
      <c r="MBB73" s="58">
        <v>4</v>
      </c>
      <c r="MBC73" s="49">
        <f>INDEX($T$2:$T$11,MATCH(MAY73,$R$2:$R$11,0))</f>
        <v>0.37</v>
      </c>
      <c r="MBD73" s="49">
        <f t="shared" ref="MBD73:MCZ73" si="276">MAZ73*MBA73*MBB73</f>
        <v>50</v>
      </c>
      <c r="MBE73" s="57">
        <f t="shared" ref="MBE73:MDA73" si="277">MBC73*MBD73</f>
        <v>18.5</v>
      </c>
      <c r="MBF73" s="59" t="s">
        <v>44</v>
      </c>
      <c r="MBG73" s="49" t="s">
        <v>44</v>
      </c>
      <c r="MBH73" s="51">
        <v>45117</v>
      </c>
      <c r="MBI73" s="49"/>
      <c r="MBJ73" s="49" t="s">
        <v>43</v>
      </c>
      <c r="MBK73" s="49" t="s">
        <v>45</v>
      </c>
      <c r="MBL73" s="49" t="s">
        <v>42</v>
      </c>
      <c r="MBM73" s="49" t="s">
        <v>0</v>
      </c>
      <c r="MBN73" s="49">
        <v>0</v>
      </c>
      <c r="MBO73" s="49">
        <v>1</v>
      </c>
      <c r="MBP73" s="58">
        <v>2.5</v>
      </c>
      <c r="MBQ73" s="58">
        <v>5</v>
      </c>
      <c r="MBR73" s="58">
        <v>4</v>
      </c>
      <c r="MBS73" s="49">
        <f>INDEX($T$2:$T$11,MATCH(MBO73,$R$2:$R$11,0))</f>
        <v>0.37</v>
      </c>
      <c r="MBT73" s="49">
        <f t="shared" si="276"/>
        <v>50</v>
      </c>
      <c r="MBU73" s="57">
        <f t="shared" si="277"/>
        <v>18.5</v>
      </c>
      <c r="MBV73" s="59" t="s">
        <v>44</v>
      </c>
      <c r="MBW73" s="49" t="s">
        <v>44</v>
      </c>
      <c r="MBX73" s="51">
        <v>45117</v>
      </c>
      <c r="MBY73" s="49"/>
      <c r="MBZ73" s="49" t="s">
        <v>43</v>
      </c>
      <c r="MCA73" s="49" t="s">
        <v>45</v>
      </c>
      <c r="MCB73" s="49" t="s">
        <v>42</v>
      </c>
      <c r="MCC73" s="49" t="s">
        <v>0</v>
      </c>
      <c r="MCD73" s="49">
        <v>0</v>
      </c>
      <c r="MCE73" s="49">
        <v>1</v>
      </c>
      <c r="MCF73" s="58">
        <v>2.5</v>
      </c>
      <c r="MCG73" s="58">
        <v>5</v>
      </c>
      <c r="MCH73" s="58">
        <v>4</v>
      </c>
      <c r="MCI73" s="49">
        <f>INDEX($T$2:$T$11,MATCH(MCE73,$R$2:$R$11,0))</f>
        <v>0.37</v>
      </c>
      <c r="MCJ73" s="49">
        <f t="shared" si="276"/>
        <v>50</v>
      </c>
      <c r="MCK73" s="57">
        <f t="shared" si="277"/>
        <v>18.5</v>
      </c>
      <c r="MCL73" s="59" t="s">
        <v>44</v>
      </c>
      <c r="MCM73" s="49" t="s">
        <v>44</v>
      </c>
      <c r="MCN73" s="51">
        <v>45117</v>
      </c>
      <c r="MCO73" s="49"/>
      <c r="MCP73" s="49" t="s">
        <v>43</v>
      </c>
      <c r="MCQ73" s="49" t="s">
        <v>45</v>
      </c>
      <c r="MCR73" s="49" t="s">
        <v>42</v>
      </c>
      <c r="MCS73" s="49" t="s">
        <v>0</v>
      </c>
      <c r="MCT73" s="49">
        <v>0</v>
      </c>
      <c r="MCU73" s="49">
        <v>1</v>
      </c>
      <c r="MCV73" s="58">
        <v>2.5</v>
      </c>
      <c r="MCW73" s="58">
        <v>5</v>
      </c>
      <c r="MCX73" s="58">
        <v>4</v>
      </c>
      <c r="MCY73" s="49">
        <f>INDEX($T$2:$T$11,MATCH(MCU73,$R$2:$R$11,0))</f>
        <v>0.37</v>
      </c>
      <c r="MCZ73" s="49">
        <f t="shared" si="276"/>
        <v>50</v>
      </c>
      <c r="MDA73" s="57">
        <f t="shared" si="277"/>
        <v>18.5</v>
      </c>
      <c r="MDB73" s="59" t="s">
        <v>44</v>
      </c>
      <c r="MDC73" s="49" t="s">
        <v>44</v>
      </c>
      <c r="MDD73" s="51">
        <v>45117</v>
      </c>
      <c r="MDE73" s="49"/>
      <c r="MDF73" s="49" t="s">
        <v>43</v>
      </c>
      <c r="MDG73" s="49" t="s">
        <v>45</v>
      </c>
      <c r="MDH73" s="49" t="s">
        <v>42</v>
      </c>
      <c r="MDI73" s="49" t="s">
        <v>0</v>
      </c>
      <c r="MDJ73" s="49">
        <v>0</v>
      </c>
      <c r="MDK73" s="49">
        <v>1</v>
      </c>
      <c r="MDL73" s="58">
        <v>2.5</v>
      </c>
      <c r="MDM73" s="58">
        <v>5</v>
      </c>
      <c r="MDN73" s="58">
        <v>4</v>
      </c>
      <c r="MDO73" s="49">
        <f>INDEX($T$2:$T$11,MATCH(MDK73,$R$2:$R$11,0))</f>
        <v>0.37</v>
      </c>
      <c r="MDP73" s="49">
        <f t="shared" ref="MDP73:MFL73" si="278">MDL73*MDM73*MDN73</f>
        <v>50</v>
      </c>
      <c r="MDQ73" s="57">
        <f t="shared" ref="MDQ73:MFM73" si="279">MDO73*MDP73</f>
        <v>18.5</v>
      </c>
      <c r="MDR73" s="59" t="s">
        <v>44</v>
      </c>
      <c r="MDS73" s="49" t="s">
        <v>44</v>
      </c>
      <c r="MDT73" s="51">
        <v>45117</v>
      </c>
      <c r="MDU73" s="49"/>
      <c r="MDV73" s="49" t="s">
        <v>43</v>
      </c>
      <c r="MDW73" s="49" t="s">
        <v>45</v>
      </c>
      <c r="MDX73" s="49" t="s">
        <v>42</v>
      </c>
      <c r="MDY73" s="49" t="s">
        <v>0</v>
      </c>
      <c r="MDZ73" s="49">
        <v>0</v>
      </c>
      <c r="MEA73" s="49">
        <v>1</v>
      </c>
      <c r="MEB73" s="58">
        <v>2.5</v>
      </c>
      <c r="MEC73" s="58">
        <v>5</v>
      </c>
      <c r="MED73" s="58">
        <v>4</v>
      </c>
      <c r="MEE73" s="49">
        <f>INDEX($T$2:$T$11,MATCH(MEA73,$R$2:$R$11,0))</f>
        <v>0.37</v>
      </c>
      <c r="MEF73" s="49">
        <f t="shared" si="278"/>
        <v>50</v>
      </c>
      <c r="MEG73" s="57">
        <f t="shared" si="279"/>
        <v>18.5</v>
      </c>
      <c r="MEH73" s="59" t="s">
        <v>44</v>
      </c>
      <c r="MEI73" s="49" t="s">
        <v>44</v>
      </c>
      <c r="MEJ73" s="51">
        <v>45117</v>
      </c>
      <c r="MEK73" s="49"/>
      <c r="MEL73" s="49" t="s">
        <v>43</v>
      </c>
      <c r="MEM73" s="49" t="s">
        <v>45</v>
      </c>
      <c r="MEN73" s="49" t="s">
        <v>42</v>
      </c>
      <c r="MEO73" s="49" t="s">
        <v>0</v>
      </c>
      <c r="MEP73" s="49">
        <v>0</v>
      </c>
      <c r="MEQ73" s="49">
        <v>1</v>
      </c>
      <c r="MER73" s="58">
        <v>2.5</v>
      </c>
      <c r="MES73" s="58">
        <v>5</v>
      </c>
      <c r="MET73" s="58">
        <v>4</v>
      </c>
      <c r="MEU73" s="49">
        <f>INDEX($T$2:$T$11,MATCH(MEQ73,$R$2:$R$11,0))</f>
        <v>0.37</v>
      </c>
      <c r="MEV73" s="49">
        <f t="shared" si="278"/>
        <v>50</v>
      </c>
      <c r="MEW73" s="57">
        <f t="shared" si="279"/>
        <v>18.5</v>
      </c>
      <c r="MEX73" s="59" t="s">
        <v>44</v>
      </c>
      <c r="MEY73" s="49" t="s">
        <v>44</v>
      </c>
      <c r="MEZ73" s="51">
        <v>45117</v>
      </c>
      <c r="MFA73" s="49"/>
      <c r="MFB73" s="49" t="s">
        <v>43</v>
      </c>
      <c r="MFC73" s="49" t="s">
        <v>45</v>
      </c>
      <c r="MFD73" s="49" t="s">
        <v>42</v>
      </c>
      <c r="MFE73" s="49" t="s">
        <v>0</v>
      </c>
      <c r="MFF73" s="49">
        <v>0</v>
      </c>
      <c r="MFG73" s="49">
        <v>1</v>
      </c>
      <c r="MFH73" s="58">
        <v>2.5</v>
      </c>
      <c r="MFI73" s="58">
        <v>5</v>
      </c>
      <c r="MFJ73" s="58">
        <v>4</v>
      </c>
      <c r="MFK73" s="49">
        <f>INDEX($T$2:$T$11,MATCH(MFG73,$R$2:$R$11,0))</f>
        <v>0.37</v>
      </c>
      <c r="MFL73" s="49">
        <f t="shared" si="278"/>
        <v>50</v>
      </c>
      <c r="MFM73" s="57">
        <f t="shared" si="279"/>
        <v>18.5</v>
      </c>
      <c r="MFN73" s="59" t="s">
        <v>44</v>
      </c>
      <c r="MFO73" s="49" t="s">
        <v>44</v>
      </c>
      <c r="MFP73" s="51">
        <v>45117</v>
      </c>
      <c r="MFQ73" s="49"/>
      <c r="MFR73" s="49" t="s">
        <v>43</v>
      </c>
      <c r="MFS73" s="49" t="s">
        <v>45</v>
      </c>
      <c r="MFT73" s="49" t="s">
        <v>42</v>
      </c>
      <c r="MFU73" s="49" t="s">
        <v>0</v>
      </c>
      <c r="MFV73" s="49">
        <v>0</v>
      </c>
      <c r="MFW73" s="49">
        <v>1</v>
      </c>
      <c r="MFX73" s="58">
        <v>2.5</v>
      </c>
      <c r="MFY73" s="58">
        <v>5</v>
      </c>
      <c r="MFZ73" s="58">
        <v>4</v>
      </c>
      <c r="MGA73" s="49">
        <f>INDEX($T$2:$T$11,MATCH(MFW73,$R$2:$R$11,0))</f>
        <v>0.37</v>
      </c>
      <c r="MGB73" s="49">
        <f t="shared" ref="MGB73:MHX73" si="280">MFX73*MFY73*MFZ73</f>
        <v>50</v>
      </c>
      <c r="MGC73" s="57">
        <f t="shared" ref="MGC73:MHY73" si="281">MGA73*MGB73</f>
        <v>18.5</v>
      </c>
      <c r="MGD73" s="59" t="s">
        <v>44</v>
      </c>
      <c r="MGE73" s="49" t="s">
        <v>44</v>
      </c>
      <c r="MGF73" s="51">
        <v>45117</v>
      </c>
      <c r="MGG73" s="49"/>
      <c r="MGH73" s="49" t="s">
        <v>43</v>
      </c>
      <c r="MGI73" s="49" t="s">
        <v>45</v>
      </c>
      <c r="MGJ73" s="49" t="s">
        <v>42</v>
      </c>
      <c r="MGK73" s="49" t="s">
        <v>0</v>
      </c>
      <c r="MGL73" s="49">
        <v>0</v>
      </c>
      <c r="MGM73" s="49">
        <v>1</v>
      </c>
      <c r="MGN73" s="58">
        <v>2.5</v>
      </c>
      <c r="MGO73" s="58">
        <v>5</v>
      </c>
      <c r="MGP73" s="58">
        <v>4</v>
      </c>
      <c r="MGQ73" s="49">
        <f>INDEX($T$2:$T$11,MATCH(MGM73,$R$2:$R$11,0))</f>
        <v>0.37</v>
      </c>
      <c r="MGR73" s="49">
        <f t="shared" si="280"/>
        <v>50</v>
      </c>
      <c r="MGS73" s="57">
        <f t="shared" si="281"/>
        <v>18.5</v>
      </c>
      <c r="MGT73" s="59" t="s">
        <v>44</v>
      </c>
      <c r="MGU73" s="49" t="s">
        <v>44</v>
      </c>
      <c r="MGV73" s="51">
        <v>45117</v>
      </c>
      <c r="MGW73" s="49"/>
      <c r="MGX73" s="49" t="s">
        <v>43</v>
      </c>
      <c r="MGY73" s="49" t="s">
        <v>45</v>
      </c>
      <c r="MGZ73" s="49" t="s">
        <v>42</v>
      </c>
      <c r="MHA73" s="49" t="s">
        <v>0</v>
      </c>
      <c r="MHB73" s="49">
        <v>0</v>
      </c>
      <c r="MHC73" s="49">
        <v>1</v>
      </c>
      <c r="MHD73" s="58">
        <v>2.5</v>
      </c>
      <c r="MHE73" s="58">
        <v>5</v>
      </c>
      <c r="MHF73" s="58">
        <v>4</v>
      </c>
      <c r="MHG73" s="49">
        <f>INDEX($T$2:$T$11,MATCH(MHC73,$R$2:$R$11,0))</f>
        <v>0.37</v>
      </c>
      <c r="MHH73" s="49">
        <f t="shared" si="280"/>
        <v>50</v>
      </c>
      <c r="MHI73" s="57">
        <f t="shared" si="281"/>
        <v>18.5</v>
      </c>
      <c r="MHJ73" s="59" t="s">
        <v>44</v>
      </c>
      <c r="MHK73" s="49" t="s">
        <v>44</v>
      </c>
      <c r="MHL73" s="51">
        <v>45117</v>
      </c>
      <c r="MHM73" s="49"/>
      <c r="MHN73" s="49" t="s">
        <v>43</v>
      </c>
      <c r="MHO73" s="49" t="s">
        <v>45</v>
      </c>
      <c r="MHP73" s="49" t="s">
        <v>42</v>
      </c>
      <c r="MHQ73" s="49" t="s">
        <v>0</v>
      </c>
      <c r="MHR73" s="49">
        <v>0</v>
      </c>
      <c r="MHS73" s="49">
        <v>1</v>
      </c>
      <c r="MHT73" s="58">
        <v>2.5</v>
      </c>
      <c r="MHU73" s="58">
        <v>5</v>
      </c>
      <c r="MHV73" s="58">
        <v>4</v>
      </c>
      <c r="MHW73" s="49">
        <f>INDEX($T$2:$T$11,MATCH(MHS73,$R$2:$R$11,0))</f>
        <v>0.37</v>
      </c>
      <c r="MHX73" s="49">
        <f t="shared" si="280"/>
        <v>50</v>
      </c>
      <c r="MHY73" s="57">
        <f t="shared" si="281"/>
        <v>18.5</v>
      </c>
      <c r="MHZ73" s="59" t="s">
        <v>44</v>
      </c>
      <c r="MIA73" s="49" t="s">
        <v>44</v>
      </c>
      <c r="MIB73" s="51">
        <v>45117</v>
      </c>
      <c r="MIC73" s="49"/>
      <c r="MID73" s="49" t="s">
        <v>43</v>
      </c>
      <c r="MIE73" s="49" t="s">
        <v>45</v>
      </c>
      <c r="MIF73" s="49" t="s">
        <v>42</v>
      </c>
      <c r="MIG73" s="49" t="s">
        <v>0</v>
      </c>
      <c r="MIH73" s="49">
        <v>0</v>
      </c>
      <c r="MII73" s="49">
        <v>1</v>
      </c>
      <c r="MIJ73" s="58">
        <v>2.5</v>
      </c>
      <c r="MIK73" s="58">
        <v>5</v>
      </c>
      <c r="MIL73" s="58">
        <v>4</v>
      </c>
      <c r="MIM73" s="49">
        <f>INDEX($T$2:$T$11,MATCH(MII73,$R$2:$R$11,0))</f>
        <v>0.37</v>
      </c>
      <c r="MIN73" s="49">
        <f t="shared" ref="MIN73:MKJ73" si="282">MIJ73*MIK73*MIL73</f>
        <v>50</v>
      </c>
      <c r="MIO73" s="57">
        <f t="shared" ref="MIO73:MKK73" si="283">MIM73*MIN73</f>
        <v>18.5</v>
      </c>
      <c r="MIP73" s="59" t="s">
        <v>44</v>
      </c>
      <c r="MIQ73" s="49" t="s">
        <v>44</v>
      </c>
      <c r="MIR73" s="51">
        <v>45117</v>
      </c>
      <c r="MIS73" s="49"/>
      <c r="MIT73" s="49" t="s">
        <v>43</v>
      </c>
      <c r="MIU73" s="49" t="s">
        <v>45</v>
      </c>
      <c r="MIV73" s="49" t="s">
        <v>42</v>
      </c>
      <c r="MIW73" s="49" t="s">
        <v>0</v>
      </c>
      <c r="MIX73" s="49">
        <v>0</v>
      </c>
      <c r="MIY73" s="49">
        <v>1</v>
      </c>
      <c r="MIZ73" s="58">
        <v>2.5</v>
      </c>
      <c r="MJA73" s="58">
        <v>5</v>
      </c>
      <c r="MJB73" s="58">
        <v>4</v>
      </c>
      <c r="MJC73" s="49">
        <f>INDEX($T$2:$T$11,MATCH(MIY73,$R$2:$R$11,0))</f>
        <v>0.37</v>
      </c>
      <c r="MJD73" s="49">
        <f t="shared" si="282"/>
        <v>50</v>
      </c>
      <c r="MJE73" s="57">
        <f t="shared" si="283"/>
        <v>18.5</v>
      </c>
      <c r="MJF73" s="59" t="s">
        <v>44</v>
      </c>
      <c r="MJG73" s="49" t="s">
        <v>44</v>
      </c>
      <c r="MJH73" s="51">
        <v>45117</v>
      </c>
      <c r="MJI73" s="49"/>
      <c r="MJJ73" s="49" t="s">
        <v>43</v>
      </c>
      <c r="MJK73" s="49" t="s">
        <v>45</v>
      </c>
      <c r="MJL73" s="49" t="s">
        <v>42</v>
      </c>
      <c r="MJM73" s="49" t="s">
        <v>0</v>
      </c>
      <c r="MJN73" s="49">
        <v>0</v>
      </c>
      <c r="MJO73" s="49">
        <v>1</v>
      </c>
      <c r="MJP73" s="58">
        <v>2.5</v>
      </c>
      <c r="MJQ73" s="58">
        <v>5</v>
      </c>
      <c r="MJR73" s="58">
        <v>4</v>
      </c>
      <c r="MJS73" s="49">
        <f>INDEX($T$2:$T$11,MATCH(MJO73,$R$2:$R$11,0))</f>
        <v>0.37</v>
      </c>
      <c r="MJT73" s="49">
        <f t="shared" si="282"/>
        <v>50</v>
      </c>
      <c r="MJU73" s="57">
        <f t="shared" si="283"/>
        <v>18.5</v>
      </c>
      <c r="MJV73" s="59" t="s">
        <v>44</v>
      </c>
      <c r="MJW73" s="49" t="s">
        <v>44</v>
      </c>
      <c r="MJX73" s="51">
        <v>45117</v>
      </c>
      <c r="MJY73" s="49"/>
      <c r="MJZ73" s="49" t="s">
        <v>43</v>
      </c>
      <c r="MKA73" s="49" t="s">
        <v>45</v>
      </c>
      <c r="MKB73" s="49" t="s">
        <v>42</v>
      </c>
      <c r="MKC73" s="49" t="s">
        <v>0</v>
      </c>
      <c r="MKD73" s="49">
        <v>0</v>
      </c>
      <c r="MKE73" s="49">
        <v>1</v>
      </c>
      <c r="MKF73" s="58">
        <v>2.5</v>
      </c>
      <c r="MKG73" s="58">
        <v>5</v>
      </c>
      <c r="MKH73" s="58">
        <v>4</v>
      </c>
      <c r="MKI73" s="49">
        <f>INDEX($T$2:$T$11,MATCH(MKE73,$R$2:$R$11,0))</f>
        <v>0.37</v>
      </c>
      <c r="MKJ73" s="49">
        <f t="shared" si="282"/>
        <v>50</v>
      </c>
      <c r="MKK73" s="57">
        <f t="shared" si="283"/>
        <v>18.5</v>
      </c>
      <c r="MKL73" s="59" t="s">
        <v>44</v>
      </c>
      <c r="MKM73" s="49" t="s">
        <v>44</v>
      </c>
      <c r="MKN73" s="51">
        <v>45117</v>
      </c>
      <c r="MKO73" s="49"/>
      <c r="MKP73" s="49" t="s">
        <v>43</v>
      </c>
      <c r="MKQ73" s="49" t="s">
        <v>45</v>
      </c>
      <c r="MKR73" s="49" t="s">
        <v>42</v>
      </c>
      <c r="MKS73" s="49" t="s">
        <v>0</v>
      </c>
      <c r="MKT73" s="49">
        <v>0</v>
      </c>
      <c r="MKU73" s="49">
        <v>1</v>
      </c>
      <c r="MKV73" s="58">
        <v>2.5</v>
      </c>
      <c r="MKW73" s="58">
        <v>5</v>
      </c>
      <c r="MKX73" s="58">
        <v>4</v>
      </c>
      <c r="MKY73" s="49">
        <f>INDEX($T$2:$T$11,MATCH(MKU73,$R$2:$R$11,0))</f>
        <v>0.37</v>
      </c>
      <c r="MKZ73" s="49">
        <f t="shared" ref="MKZ73:MMV73" si="284">MKV73*MKW73*MKX73</f>
        <v>50</v>
      </c>
      <c r="MLA73" s="57">
        <f t="shared" ref="MLA73:MMW73" si="285">MKY73*MKZ73</f>
        <v>18.5</v>
      </c>
      <c r="MLB73" s="59" t="s">
        <v>44</v>
      </c>
      <c r="MLC73" s="49" t="s">
        <v>44</v>
      </c>
      <c r="MLD73" s="51">
        <v>45117</v>
      </c>
      <c r="MLE73" s="49"/>
      <c r="MLF73" s="49" t="s">
        <v>43</v>
      </c>
      <c r="MLG73" s="49" t="s">
        <v>45</v>
      </c>
      <c r="MLH73" s="49" t="s">
        <v>42</v>
      </c>
      <c r="MLI73" s="49" t="s">
        <v>0</v>
      </c>
      <c r="MLJ73" s="49">
        <v>0</v>
      </c>
      <c r="MLK73" s="49">
        <v>1</v>
      </c>
      <c r="MLL73" s="58">
        <v>2.5</v>
      </c>
      <c r="MLM73" s="58">
        <v>5</v>
      </c>
      <c r="MLN73" s="58">
        <v>4</v>
      </c>
      <c r="MLO73" s="49">
        <f>INDEX($T$2:$T$11,MATCH(MLK73,$R$2:$R$11,0))</f>
        <v>0.37</v>
      </c>
      <c r="MLP73" s="49">
        <f t="shared" si="284"/>
        <v>50</v>
      </c>
      <c r="MLQ73" s="57">
        <f t="shared" si="285"/>
        <v>18.5</v>
      </c>
      <c r="MLR73" s="59" t="s">
        <v>44</v>
      </c>
      <c r="MLS73" s="49" t="s">
        <v>44</v>
      </c>
      <c r="MLT73" s="51">
        <v>45117</v>
      </c>
      <c r="MLU73" s="49"/>
      <c r="MLV73" s="49" t="s">
        <v>43</v>
      </c>
      <c r="MLW73" s="49" t="s">
        <v>45</v>
      </c>
      <c r="MLX73" s="49" t="s">
        <v>42</v>
      </c>
      <c r="MLY73" s="49" t="s">
        <v>0</v>
      </c>
      <c r="MLZ73" s="49">
        <v>0</v>
      </c>
      <c r="MMA73" s="49">
        <v>1</v>
      </c>
      <c r="MMB73" s="58">
        <v>2.5</v>
      </c>
      <c r="MMC73" s="58">
        <v>5</v>
      </c>
      <c r="MMD73" s="58">
        <v>4</v>
      </c>
      <c r="MME73" s="49">
        <f>INDEX($T$2:$T$11,MATCH(MMA73,$R$2:$R$11,0))</f>
        <v>0.37</v>
      </c>
      <c r="MMF73" s="49">
        <f t="shared" si="284"/>
        <v>50</v>
      </c>
      <c r="MMG73" s="57">
        <f t="shared" si="285"/>
        <v>18.5</v>
      </c>
      <c r="MMH73" s="59" t="s">
        <v>44</v>
      </c>
      <c r="MMI73" s="49" t="s">
        <v>44</v>
      </c>
      <c r="MMJ73" s="51">
        <v>45117</v>
      </c>
      <c r="MMK73" s="49"/>
      <c r="MML73" s="49" t="s">
        <v>43</v>
      </c>
      <c r="MMM73" s="49" t="s">
        <v>45</v>
      </c>
      <c r="MMN73" s="49" t="s">
        <v>42</v>
      </c>
      <c r="MMO73" s="49" t="s">
        <v>0</v>
      </c>
      <c r="MMP73" s="49">
        <v>0</v>
      </c>
      <c r="MMQ73" s="49">
        <v>1</v>
      </c>
      <c r="MMR73" s="58">
        <v>2.5</v>
      </c>
      <c r="MMS73" s="58">
        <v>5</v>
      </c>
      <c r="MMT73" s="58">
        <v>4</v>
      </c>
      <c r="MMU73" s="49">
        <f>INDEX($T$2:$T$11,MATCH(MMQ73,$R$2:$R$11,0))</f>
        <v>0.37</v>
      </c>
      <c r="MMV73" s="49">
        <f t="shared" si="284"/>
        <v>50</v>
      </c>
      <c r="MMW73" s="57">
        <f t="shared" si="285"/>
        <v>18.5</v>
      </c>
      <c r="MMX73" s="59" t="s">
        <v>44</v>
      </c>
      <c r="MMY73" s="49" t="s">
        <v>44</v>
      </c>
      <c r="MMZ73" s="51">
        <v>45117</v>
      </c>
      <c r="MNA73" s="49"/>
      <c r="MNB73" s="49" t="s">
        <v>43</v>
      </c>
      <c r="MNC73" s="49" t="s">
        <v>45</v>
      </c>
      <c r="MND73" s="49" t="s">
        <v>42</v>
      </c>
      <c r="MNE73" s="49" t="s">
        <v>0</v>
      </c>
      <c r="MNF73" s="49">
        <v>0</v>
      </c>
      <c r="MNG73" s="49">
        <v>1</v>
      </c>
      <c r="MNH73" s="58">
        <v>2.5</v>
      </c>
      <c r="MNI73" s="58">
        <v>5</v>
      </c>
      <c r="MNJ73" s="58">
        <v>4</v>
      </c>
      <c r="MNK73" s="49">
        <f>INDEX($T$2:$T$11,MATCH(MNG73,$R$2:$R$11,0))</f>
        <v>0.37</v>
      </c>
      <c r="MNL73" s="49">
        <f t="shared" ref="MNL73:MPH73" si="286">MNH73*MNI73*MNJ73</f>
        <v>50</v>
      </c>
      <c r="MNM73" s="57">
        <f t="shared" ref="MNM73:MPI73" si="287">MNK73*MNL73</f>
        <v>18.5</v>
      </c>
      <c r="MNN73" s="59" t="s">
        <v>44</v>
      </c>
      <c r="MNO73" s="49" t="s">
        <v>44</v>
      </c>
      <c r="MNP73" s="51">
        <v>45117</v>
      </c>
      <c r="MNQ73" s="49"/>
      <c r="MNR73" s="49" t="s">
        <v>43</v>
      </c>
      <c r="MNS73" s="49" t="s">
        <v>45</v>
      </c>
      <c r="MNT73" s="49" t="s">
        <v>42</v>
      </c>
      <c r="MNU73" s="49" t="s">
        <v>0</v>
      </c>
      <c r="MNV73" s="49">
        <v>0</v>
      </c>
      <c r="MNW73" s="49">
        <v>1</v>
      </c>
      <c r="MNX73" s="58">
        <v>2.5</v>
      </c>
      <c r="MNY73" s="58">
        <v>5</v>
      </c>
      <c r="MNZ73" s="58">
        <v>4</v>
      </c>
      <c r="MOA73" s="49">
        <f>INDEX($T$2:$T$11,MATCH(MNW73,$R$2:$R$11,0))</f>
        <v>0.37</v>
      </c>
      <c r="MOB73" s="49">
        <f t="shared" si="286"/>
        <v>50</v>
      </c>
      <c r="MOC73" s="57">
        <f t="shared" si="287"/>
        <v>18.5</v>
      </c>
      <c r="MOD73" s="59" t="s">
        <v>44</v>
      </c>
      <c r="MOE73" s="49" t="s">
        <v>44</v>
      </c>
      <c r="MOF73" s="51">
        <v>45117</v>
      </c>
      <c r="MOG73" s="49"/>
      <c r="MOH73" s="49" t="s">
        <v>43</v>
      </c>
      <c r="MOI73" s="49" t="s">
        <v>45</v>
      </c>
      <c r="MOJ73" s="49" t="s">
        <v>42</v>
      </c>
      <c r="MOK73" s="49" t="s">
        <v>0</v>
      </c>
      <c r="MOL73" s="49">
        <v>0</v>
      </c>
      <c r="MOM73" s="49">
        <v>1</v>
      </c>
      <c r="MON73" s="58">
        <v>2.5</v>
      </c>
      <c r="MOO73" s="58">
        <v>5</v>
      </c>
      <c r="MOP73" s="58">
        <v>4</v>
      </c>
      <c r="MOQ73" s="49">
        <f>INDEX($T$2:$T$11,MATCH(MOM73,$R$2:$R$11,0))</f>
        <v>0.37</v>
      </c>
      <c r="MOR73" s="49">
        <f t="shared" si="286"/>
        <v>50</v>
      </c>
      <c r="MOS73" s="57">
        <f t="shared" si="287"/>
        <v>18.5</v>
      </c>
      <c r="MOT73" s="59" t="s">
        <v>44</v>
      </c>
      <c r="MOU73" s="49" t="s">
        <v>44</v>
      </c>
      <c r="MOV73" s="51">
        <v>45117</v>
      </c>
      <c r="MOW73" s="49"/>
      <c r="MOX73" s="49" t="s">
        <v>43</v>
      </c>
      <c r="MOY73" s="49" t="s">
        <v>45</v>
      </c>
      <c r="MOZ73" s="49" t="s">
        <v>42</v>
      </c>
      <c r="MPA73" s="49" t="s">
        <v>0</v>
      </c>
      <c r="MPB73" s="49">
        <v>0</v>
      </c>
      <c r="MPC73" s="49">
        <v>1</v>
      </c>
      <c r="MPD73" s="58">
        <v>2.5</v>
      </c>
      <c r="MPE73" s="58">
        <v>5</v>
      </c>
      <c r="MPF73" s="58">
        <v>4</v>
      </c>
      <c r="MPG73" s="49">
        <f>INDEX($T$2:$T$11,MATCH(MPC73,$R$2:$R$11,0))</f>
        <v>0.37</v>
      </c>
      <c r="MPH73" s="49">
        <f t="shared" si="286"/>
        <v>50</v>
      </c>
      <c r="MPI73" s="57">
        <f t="shared" si="287"/>
        <v>18.5</v>
      </c>
      <c r="MPJ73" s="59" t="s">
        <v>44</v>
      </c>
      <c r="MPK73" s="49" t="s">
        <v>44</v>
      </c>
      <c r="MPL73" s="51">
        <v>45117</v>
      </c>
      <c r="MPM73" s="49"/>
      <c r="MPN73" s="49" t="s">
        <v>43</v>
      </c>
      <c r="MPO73" s="49" t="s">
        <v>45</v>
      </c>
      <c r="MPP73" s="49" t="s">
        <v>42</v>
      </c>
      <c r="MPQ73" s="49" t="s">
        <v>0</v>
      </c>
      <c r="MPR73" s="49">
        <v>0</v>
      </c>
      <c r="MPS73" s="49">
        <v>1</v>
      </c>
      <c r="MPT73" s="58">
        <v>2.5</v>
      </c>
      <c r="MPU73" s="58">
        <v>5</v>
      </c>
      <c r="MPV73" s="58">
        <v>4</v>
      </c>
      <c r="MPW73" s="49">
        <f>INDEX($T$2:$T$11,MATCH(MPS73,$R$2:$R$11,0))</f>
        <v>0.37</v>
      </c>
      <c r="MPX73" s="49">
        <f t="shared" ref="MPX73:MRT73" si="288">MPT73*MPU73*MPV73</f>
        <v>50</v>
      </c>
      <c r="MPY73" s="57">
        <f t="shared" ref="MPY73:MRU73" si="289">MPW73*MPX73</f>
        <v>18.5</v>
      </c>
      <c r="MPZ73" s="59" t="s">
        <v>44</v>
      </c>
      <c r="MQA73" s="49" t="s">
        <v>44</v>
      </c>
      <c r="MQB73" s="51">
        <v>45117</v>
      </c>
      <c r="MQC73" s="49"/>
      <c r="MQD73" s="49" t="s">
        <v>43</v>
      </c>
      <c r="MQE73" s="49" t="s">
        <v>45</v>
      </c>
      <c r="MQF73" s="49" t="s">
        <v>42</v>
      </c>
      <c r="MQG73" s="49" t="s">
        <v>0</v>
      </c>
      <c r="MQH73" s="49">
        <v>0</v>
      </c>
      <c r="MQI73" s="49">
        <v>1</v>
      </c>
      <c r="MQJ73" s="58">
        <v>2.5</v>
      </c>
      <c r="MQK73" s="58">
        <v>5</v>
      </c>
      <c r="MQL73" s="58">
        <v>4</v>
      </c>
      <c r="MQM73" s="49">
        <f>INDEX($T$2:$T$11,MATCH(MQI73,$R$2:$R$11,0))</f>
        <v>0.37</v>
      </c>
      <c r="MQN73" s="49">
        <f t="shared" si="288"/>
        <v>50</v>
      </c>
      <c r="MQO73" s="57">
        <f t="shared" si="289"/>
        <v>18.5</v>
      </c>
      <c r="MQP73" s="59" t="s">
        <v>44</v>
      </c>
      <c r="MQQ73" s="49" t="s">
        <v>44</v>
      </c>
      <c r="MQR73" s="51">
        <v>45117</v>
      </c>
      <c r="MQS73" s="49"/>
      <c r="MQT73" s="49" t="s">
        <v>43</v>
      </c>
      <c r="MQU73" s="49" t="s">
        <v>45</v>
      </c>
      <c r="MQV73" s="49" t="s">
        <v>42</v>
      </c>
      <c r="MQW73" s="49" t="s">
        <v>0</v>
      </c>
      <c r="MQX73" s="49">
        <v>0</v>
      </c>
      <c r="MQY73" s="49">
        <v>1</v>
      </c>
      <c r="MQZ73" s="58">
        <v>2.5</v>
      </c>
      <c r="MRA73" s="58">
        <v>5</v>
      </c>
      <c r="MRB73" s="58">
        <v>4</v>
      </c>
      <c r="MRC73" s="49">
        <f>INDEX($T$2:$T$11,MATCH(MQY73,$R$2:$R$11,0))</f>
        <v>0.37</v>
      </c>
      <c r="MRD73" s="49">
        <f t="shared" si="288"/>
        <v>50</v>
      </c>
      <c r="MRE73" s="57">
        <f t="shared" si="289"/>
        <v>18.5</v>
      </c>
      <c r="MRF73" s="59" t="s">
        <v>44</v>
      </c>
      <c r="MRG73" s="49" t="s">
        <v>44</v>
      </c>
      <c r="MRH73" s="51">
        <v>45117</v>
      </c>
      <c r="MRI73" s="49"/>
      <c r="MRJ73" s="49" t="s">
        <v>43</v>
      </c>
      <c r="MRK73" s="49" t="s">
        <v>45</v>
      </c>
      <c r="MRL73" s="49" t="s">
        <v>42</v>
      </c>
      <c r="MRM73" s="49" t="s">
        <v>0</v>
      </c>
      <c r="MRN73" s="49">
        <v>0</v>
      </c>
      <c r="MRO73" s="49">
        <v>1</v>
      </c>
      <c r="MRP73" s="58">
        <v>2.5</v>
      </c>
      <c r="MRQ73" s="58">
        <v>5</v>
      </c>
      <c r="MRR73" s="58">
        <v>4</v>
      </c>
      <c r="MRS73" s="49">
        <f>INDEX($T$2:$T$11,MATCH(MRO73,$R$2:$R$11,0))</f>
        <v>0.37</v>
      </c>
      <c r="MRT73" s="49">
        <f t="shared" si="288"/>
        <v>50</v>
      </c>
      <c r="MRU73" s="57">
        <f t="shared" si="289"/>
        <v>18.5</v>
      </c>
      <c r="MRV73" s="59" t="s">
        <v>44</v>
      </c>
      <c r="MRW73" s="49" t="s">
        <v>44</v>
      </c>
      <c r="MRX73" s="51">
        <v>45117</v>
      </c>
      <c r="MRY73" s="49"/>
      <c r="MRZ73" s="49" t="s">
        <v>43</v>
      </c>
      <c r="MSA73" s="49" t="s">
        <v>45</v>
      </c>
      <c r="MSB73" s="49" t="s">
        <v>42</v>
      </c>
      <c r="MSC73" s="49" t="s">
        <v>0</v>
      </c>
      <c r="MSD73" s="49">
        <v>0</v>
      </c>
      <c r="MSE73" s="49">
        <v>1</v>
      </c>
      <c r="MSF73" s="58">
        <v>2.5</v>
      </c>
      <c r="MSG73" s="58">
        <v>5</v>
      </c>
      <c r="MSH73" s="58">
        <v>4</v>
      </c>
      <c r="MSI73" s="49">
        <f>INDEX($T$2:$T$11,MATCH(MSE73,$R$2:$R$11,0))</f>
        <v>0.37</v>
      </c>
      <c r="MSJ73" s="49">
        <f t="shared" ref="MSJ73:MUF73" si="290">MSF73*MSG73*MSH73</f>
        <v>50</v>
      </c>
      <c r="MSK73" s="57">
        <f t="shared" ref="MSK73:MUG73" si="291">MSI73*MSJ73</f>
        <v>18.5</v>
      </c>
      <c r="MSL73" s="59" t="s">
        <v>44</v>
      </c>
      <c r="MSM73" s="49" t="s">
        <v>44</v>
      </c>
      <c r="MSN73" s="51">
        <v>45117</v>
      </c>
      <c r="MSO73" s="49"/>
      <c r="MSP73" s="49" t="s">
        <v>43</v>
      </c>
      <c r="MSQ73" s="49" t="s">
        <v>45</v>
      </c>
      <c r="MSR73" s="49" t="s">
        <v>42</v>
      </c>
      <c r="MSS73" s="49" t="s">
        <v>0</v>
      </c>
      <c r="MST73" s="49">
        <v>0</v>
      </c>
      <c r="MSU73" s="49">
        <v>1</v>
      </c>
      <c r="MSV73" s="58">
        <v>2.5</v>
      </c>
      <c r="MSW73" s="58">
        <v>5</v>
      </c>
      <c r="MSX73" s="58">
        <v>4</v>
      </c>
      <c r="MSY73" s="49">
        <f>INDEX($T$2:$T$11,MATCH(MSU73,$R$2:$R$11,0))</f>
        <v>0.37</v>
      </c>
      <c r="MSZ73" s="49">
        <f t="shared" si="290"/>
        <v>50</v>
      </c>
      <c r="MTA73" s="57">
        <f t="shared" si="291"/>
        <v>18.5</v>
      </c>
      <c r="MTB73" s="59" t="s">
        <v>44</v>
      </c>
      <c r="MTC73" s="49" t="s">
        <v>44</v>
      </c>
      <c r="MTD73" s="51">
        <v>45117</v>
      </c>
      <c r="MTE73" s="49"/>
      <c r="MTF73" s="49" t="s">
        <v>43</v>
      </c>
      <c r="MTG73" s="49" t="s">
        <v>45</v>
      </c>
      <c r="MTH73" s="49" t="s">
        <v>42</v>
      </c>
      <c r="MTI73" s="49" t="s">
        <v>0</v>
      </c>
      <c r="MTJ73" s="49">
        <v>0</v>
      </c>
      <c r="MTK73" s="49">
        <v>1</v>
      </c>
      <c r="MTL73" s="58">
        <v>2.5</v>
      </c>
      <c r="MTM73" s="58">
        <v>5</v>
      </c>
      <c r="MTN73" s="58">
        <v>4</v>
      </c>
      <c r="MTO73" s="49">
        <f>INDEX($T$2:$T$11,MATCH(MTK73,$R$2:$R$11,0))</f>
        <v>0.37</v>
      </c>
      <c r="MTP73" s="49">
        <f t="shared" si="290"/>
        <v>50</v>
      </c>
      <c r="MTQ73" s="57">
        <f t="shared" si="291"/>
        <v>18.5</v>
      </c>
      <c r="MTR73" s="59" t="s">
        <v>44</v>
      </c>
      <c r="MTS73" s="49" t="s">
        <v>44</v>
      </c>
      <c r="MTT73" s="51">
        <v>45117</v>
      </c>
      <c r="MTU73" s="49"/>
      <c r="MTV73" s="49" t="s">
        <v>43</v>
      </c>
      <c r="MTW73" s="49" t="s">
        <v>45</v>
      </c>
      <c r="MTX73" s="49" t="s">
        <v>42</v>
      </c>
      <c r="MTY73" s="49" t="s">
        <v>0</v>
      </c>
      <c r="MTZ73" s="49">
        <v>0</v>
      </c>
      <c r="MUA73" s="49">
        <v>1</v>
      </c>
      <c r="MUB73" s="58">
        <v>2.5</v>
      </c>
      <c r="MUC73" s="58">
        <v>5</v>
      </c>
      <c r="MUD73" s="58">
        <v>4</v>
      </c>
      <c r="MUE73" s="49">
        <f>INDEX($T$2:$T$11,MATCH(MUA73,$R$2:$R$11,0))</f>
        <v>0.37</v>
      </c>
      <c r="MUF73" s="49">
        <f t="shared" si="290"/>
        <v>50</v>
      </c>
      <c r="MUG73" s="57">
        <f t="shared" si="291"/>
        <v>18.5</v>
      </c>
      <c r="MUH73" s="59" t="s">
        <v>44</v>
      </c>
      <c r="MUI73" s="49" t="s">
        <v>44</v>
      </c>
      <c r="MUJ73" s="51">
        <v>45117</v>
      </c>
      <c r="MUK73" s="49"/>
      <c r="MUL73" s="49" t="s">
        <v>43</v>
      </c>
      <c r="MUM73" s="49" t="s">
        <v>45</v>
      </c>
      <c r="MUN73" s="49" t="s">
        <v>42</v>
      </c>
      <c r="MUO73" s="49" t="s">
        <v>0</v>
      </c>
      <c r="MUP73" s="49">
        <v>0</v>
      </c>
      <c r="MUQ73" s="49">
        <v>1</v>
      </c>
      <c r="MUR73" s="58">
        <v>2.5</v>
      </c>
      <c r="MUS73" s="58">
        <v>5</v>
      </c>
      <c r="MUT73" s="58">
        <v>4</v>
      </c>
      <c r="MUU73" s="49">
        <f>INDEX($T$2:$T$11,MATCH(MUQ73,$R$2:$R$11,0))</f>
        <v>0.37</v>
      </c>
      <c r="MUV73" s="49">
        <f t="shared" ref="MUV73:MWR73" si="292">MUR73*MUS73*MUT73</f>
        <v>50</v>
      </c>
      <c r="MUW73" s="57">
        <f t="shared" ref="MUW73:MWS73" si="293">MUU73*MUV73</f>
        <v>18.5</v>
      </c>
      <c r="MUX73" s="59" t="s">
        <v>44</v>
      </c>
      <c r="MUY73" s="49" t="s">
        <v>44</v>
      </c>
      <c r="MUZ73" s="51">
        <v>45117</v>
      </c>
      <c r="MVA73" s="49"/>
      <c r="MVB73" s="49" t="s">
        <v>43</v>
      </c>
      <c r="MVC73" s="49" t="s">
        <v>45</v>
      </c>
      <c r="MVD73" s="49" t="s">
        <v>42</v>
      </c>
      <c r="MVE73" s="49" t="s">
        <v>0</v>
      </c>
      <c r="MVF73" s="49">
        <v>0</v>
      </c>
      <c r="MVG73" s="49">
        <v>1</v>
      </c>
      <c r="MVH73" s="58">
        <v>2.5</v>
      </c>
      <c r="MVI73" s="58">
        <v>5</v>
      </c>
      <c r="MVJ73" s="58">
        <v>4</v>
      </c>
      <c r="MVK73" s="49">
        <f>INDEX($T$2:$T$11,MATCH(MVG73,$R$2:$R$11,0))</f>
        <v>0.37</v>
      </c>
      <c r="MVL73" s="49">
        <f t="shared" si="292"/>
        <v>50</v>
      </c>
      <c r="MVM73" s="57">
        <f t="shared" si="293"/>
        <v>18.5</v>
      </c>
      <c r="MVN73" s="59" t="s">
        <v>44</v>
      </c>
      <c r="MVO73" s="49" t="s">
        <v>44</v>
      </c>
      <c r="MVP73" s="51">
        <v>45117</v>
      </c>
      <c r="MVQ73" s="49"/>
      <c r="MVR73" s="49" t="s">
        <v>43</v>
      </c>
      <c r="MVS73" s="49" t="s">
        <v>45</v>
      </c>
      <c r="MVT73" s="49" t="s">
        <v>42</v>
      </c>
      <c r="MVU73" s="49" t="s">
        <v>0</v>
      </c>
      <c r="MVV73" s="49">
        <v>0</v>
      </c>
      <c r="MVW73" s="49">
        <v>1</v>
      </c>
      <c r="MVX73" s="58">
        <v>2.5</v>
      </c>
      <c r="MVY73" s="58">
        <v>5</v>
      </c>
      <c r="MVZ73" s="58">
        <v>4</v>
      </c>
      <c r="MWA73" s="49">
        <f>INDEX($T$2:$T$11,MATCH(MVW73,$R$2:$R$11,0))</f>
        <v>0.37</v>
      </c>
      <c r="MWB73" s="49">
        <f t="shared" si="292"/>
        <v>50</v>
      </c>
      <c r="MWC73" s="57">
        <f t="shared" si="293"/>
        <v>18.5</v>
      </c>
      <c r="MWD73" s="59" t="s">
        <v>44</v>
      </c>
      <c r="MWE73" s="49" t="s">
        <v>44</v>
      </c>
      <c r="MWF73" s="51">
        <v>45117</v>
      </c>
      <c r="MWG73" s="49"/>
      <c r="MWH73" s="49" t="s">
        <v>43</v>
      </c>
      <c r="MWI73" s="49" t="s">
        <v>45</v>
      </c>
      <c r="MWJ73" s="49" t="s">
        <v>42</v>
      </c>
      <c r="MWK73" s="49" t="s">
        <v>0</v>
      </c>
      <c r="MWL73" s="49">
        <v>0</v>
      </c>
      <c r="MWM73" s="49">
        <v>1</v>
      </c>
      <c r="MWN73" s="58">
        <v>2.5</v>
      </c>
      <c r="MWO73" s="58">
        <v>5</v>
      </c>
      <c r="MWP73" s="58">
        <v>4</v>
      </c>
      <c r="MWQ73" s="49">
        <f>INDEX($T$2:$T$11,MATCH(MWM73,$R$2:$R$11,0))</f>
        <v>0.37</v>
      </c>
      <c r="MWR73" s="49">
        <f t="shared" si="292"/>
        <v>50</v>
      </c>
      <c r="MWS73" s="57">
        <f t="shared" si="293"/>
        <v>18.5</v>
      </c>
      <c r="MWT73" s="59" t="s">
        <v>44</v>
      </c>
      <c r="MWU73" s="49" t="s">
        <v>44</v>
      </c>
      <c r="MWV73" s="51">
        <v>45117</v>
      </c>
      <c r="MWW73" s="49"/>
      <c r="MWX73" s="49" t="s">
        <v>43</v>
      </c>
      <c r="MWY73" s="49" t="s">
        <v>45</v>
      </c>
      <c r="MWZ73" s="49" t="s">
        <v>42</v>
      </c>
      <c r="MXA73" s="49" t="s">
        <v>0</v>
      </c>
      <c r="MXB73" s="49">
        <v>0</v>
      </c>
      <c r="MXC73" s="49">
        <v>1</v>
      </c>
      <c r="MXD73" s="58">
        <v>2.5</v>
      </c>
      <c r="MXE73" s="58">
        <v>5</v>
      </c>
      <c r="MXF73" s="58">
        <v>4</v>
      </c>
      <c r="MXG73" s="49">
        <f>INDEX($T$2:$T$11,MATCH(MXC73,$R$2:$R$11,0))</f>
        <v>0.37</v>
      </c>
      <c r="MXH73" s="49">
        <f t="shared" ref="MXH73:MZD73" si="294">MXD73*MXE73*MXF73</f>
        <v>50</v>
      </c>
      <c r="MXI73" s="57">
        <f t="shared" ref="MXI73:MZE73" si="295">MXG73*MXH73</f>
        <v>18.5</v>
      </c>
      <c r="MXJ73" s="59" t="s">
        <v>44</v>
      </c>
      <c r="MXK73" s="49" t="s">
        <v>44</v>
      </c>
      <c r="MXL73" s="51">
        <v>45117</v>
      </c>
      <c r="MXM73" s="49"/>
      <c r="MXN73" s="49" t="s">
        <v>43</v>
      </c>
      <c r="MXO73" s="49" t="s">
        <v>45</v>
      </c>
      <c r="MXP73" s="49" t="s">
        <v>42</v>
      </c>
      <c r="MXQ73" s="49" t="s">
        <v>0</v>
      </c>
      <c r="MXR73" s="49">
        <v>0</v>
      </c>
      <c r="MXS73" s="49">
        <v>1</v>
      </c>
      <c r="MXT73" s="58">
        <v>2.5</v>
      </c>
      <c r="MXU73" s="58">
        <v>5</v>
      </c>
      <c r="MXV73" s="58">
        <v>4</v>
      </c>
      <c r="MXW73" s="49">
        <f>INDEX($T$2:$T$11,MATCH(MXS73,$R$2:$R$11,0))</f>
        <v>0.37</v>
      </c>
      <c r="MXX73" s="49">
        <f t="shared" si="294"/>
        <v>50</v>
      </c>
      <c r="MXY73" s="57">
        <f t="shared" si="295"/>
        <v>18.5</v>
      </c>
      <c r="MXZ73" s="59" t="s">
        <v>44</v>
      </c>
      <c r="MYA73" s="49" t="s">
        <v>44</v>
      </c>
      <c r="MYB73" s="51">
        <v>45117</v>
      </c>
      <c r="MYC73" s="49"/>
      <c r="MYD73" s="49" t="s">
        <v>43</v>
      </c>
      <c r="MYE73" s="49" t="s">
        <v>45</v>
      </c>
      <c r="MYF73" s="49" t="s">
        <v>42</v>
      </c>
      <c r="MYG73" s="49" t="s">
        <v>0</v>
      </c>
      <c r="MYH73" s="49">
        <v>0</v>
      </c>
      <c r="MYI73" s="49">
        <v>1</v>
      </c>
      <c r="MYJ73" s="58">
        <v>2.5</v>
      </c>
      <c r="MYK73" s="58">
        <v>5</v>
      </c>
      <c r="MYL73" s="58">
        <v>4</v>
      </c>
      <c r="MYM73" s="49">
        <f>INDEX($T$2:$T$11,MATCH(MYI73,$R$2:$R$11,0))</f>
        <v>0.37</v>
      </c>
      <c r="MYN73" s="49">
        <f t="shared" si="294"/>
        <v>50</v>
      </c>
      <c r="MYO73" s="57">
        <f t="shared" si="295"/>
        <v>18.5</v>
      </c>
      <c r="MYP73" s="59" t="s">
        <v>44</v>
      </c>
      <c r="MYQ73" s="49" t="s">
        <v>44</v>
      </c>
      <c r="MYR73" s="51">
        <v>45117</v>
      </c>
      <c r="MYS73" s="49"/>
      <c r="MYT73" s="49" t="s">
        <v>43</v>
      </c>
      <c r="MYU73" s="49" t="s">
        <v>45</v>
      </c>
      <c r="MYV73" s="49" t="s">
        <v>42</v>
      </c>
      <c r="MYW73" s="49" t="s">
        <v>0</v>
      </c>
      <c r="MYX73" s="49">
        <v>0</v>
      </c>
      <c r="MYY73" s="49">
        <v>1</v>
      </c>
      <c r="MYZ73" s="58">
        <v>2.5</v>
      </c>
      <c r="MZA73" s="58">
        <v>5</v>
      </c>
      <c r="MZB73" s="58">
        <v>4</v>
      </c>
      <c r="MZC73" s="49">
        <f>INDEX($T$2:$T$11,MATCH(MYY73,$R$2:$R$11,0))</f>
        <v>0.37</v>
      </c>
      <c r="MZD73" s="49">
        <f t="shared" si="294"/>
        <v>50</v>
      </c>
      <c r="MZE73" s="57">
        <f t="shared" si="295"/>
        <v>18.5</v>
      </c>
      <c r="MZF73" s="59" t="s">
        <v>44</v>
      </c>
      <c r="MZG73" s="49" t="s">
        <v>44</v>
      </c>
      <c r="MZH73" s="51">
        <v>45117</v>
      </c>
      <c r="MZI73" s="49"/>
      <c r="MZJ73" s="49" t="s">
        <v>43</v>
      </c>
      <c r="MZK73" s="49" t="s">
        <v>45</v>
      </c>
      <c r="MZL73" s="49" t="s">
        <v>42</v>
      </c>
      <c r="MZM73" s="49" t="s">
        <v>0</v>
      </c>
      <c r="MZN73" s="49">
        <v>0</v>
      </c>
      <c r="MZO73" s="49">
        <v>1</v>
      </c>
      <c r="MZP73" s="58">
        <v>2.5</v>
      </c>
      <c r="MZQ73" s="58">
        <v>5</v>
      </c>
      <c r="MZR73" s="58">
        <v>4</v>
      </c>
      <c r="MZS73" s="49">
        <f>INDEX($T$2:$T$11,MATCH(MZO73,$R$2:$R$11,0))</f>
        <v>0.37</v>
      </c>
      <c r="MZT73" s="49">
        <f t="shared" ref="MZT73:NBP73" si="296">MZP73*MZQ73*MZR73</f>
        <v>50</v>
      </c>
      <c r="MZU73" s="57">
        <f t="shared" ref="MZU73:NBQ73" si="297">MZS73*MZT73</f>
        <v>18.5</v>
      </c>
      <c r="MZV73" s="59" t="s">
        <v>44</v>
      </c>
      <c r="MZW73" s="49" t="s">
        <v>44</v>
      </c>
      <c r="MZX73" s="51">
        <v>45117</v>
      </c>
      <c r="MZY73" s="49"/>
      <c r="MZZ73" s="49" t="s">
        <v>43</v>
      </c>
      <c r="NAA73" s="49" t="s">
        <v>45</v>
      </c>
      <c r="NAB73" s="49" t="s">
        <v>42</v>
      </c>
      <c r="NAC73" s="49" t="s">
        <v>0</v>
      </c>
      <c r="NAD73" s="49">
        <v>0</v>
      </c>
      <c r="NAE73" s="49">
        <v>1</v>
      </c>
      <c r="NAF73" s="58">
        <v>2.5</v>
      </c>
      <c r="NAG73" s="58">
        <v>5</v>
      </c>
      <c r="NAH73" s="58">
        <v>4</v>
      </c>
      <c r="NAI73" s="49">
        <f>INDEX($T$2:$T$11,MATCH(NAE73,$R$2:$R$11,0))</f>
        <v>0.37</v>
      </c>
      <c r="NAJ73" s="49">
        <f t="shared" si="296"/>
        <v>50</v>
      </c>
      <c r="NAK73" s="57">
        <f t="shared" si="297"/>
        <v>18.5</v>
      </c>
      <c r="NAL73" s="59" t="s">
        <v>44</v>
      </c>
      <c r="NAM73" s="49" t="s">
        <v>44</v>
      </c>
      <c r="NAN73" s="51">
        <v>45117</v>
      </c>
      <c r="NAO73" s="49"/>
      <c r="NAP73" s="49" t="s">
        <v>43</v>
      </c>
      <c r="NAQ73" s="49" t="s">
        <v>45</v>
      </c>
      <c r="NAR73" s="49" t="s">
        <v>42</v>
      </c>
      <c r="NAS73" s="49" t="s">
        <v>0</v>
      </c>
      <c r="NAT73" s="49">
        <v>0</v>
      </c>
      <c r="NAU73" s="49">
        <v>1</v>
      </c>
      <c r="NAV73" s="58">
        <v>2.5</v>
      </c>
      <c r="NAW73" s="58">
        <v>5</v>
      </c>
      <c r="NAX73" s="58">
        <v>4</v>
      </c>
      <c r="NAY73" s="49">
        <f>INDEX($T$2:$T$11,MATCH(NAU73,$R$2:$R$11,0))</f>
        <v>0.37</v>
      </c>
      <c r="NAZ73" s="49">
        <f t="shared" si="296"/>
        <v>50</v>
      </c>
      <c r="NBA73" s="57">
        <f t="shared" si="297"/>
        <v>18.5</v>
      </c>
      <c r="NBB73" s="59" t="s">
        <v>44</v>
      </c>
      <c r="NBC73" s="49" t="s">
        <v>44</v>
      </c>
      <c r="NBD73" s="51">
        <v>45117</v>
      </c>
      <c r="NBE73" s="49"/>
      <c r="NBF73" s="49" t="s">
        <v>43</v>
      </c>
      <c r="NBG73" s="49" t="s">
        <v>45</v>
      </c>
      <c r="NBH73" s="49" t="s">
        <v>42</v>
      </c>
      <c r="NBI73" s="49" t="s">
        <v>0</v>
      </c>
      <c r="NBJ73" s="49">
        <v>0</v>
      </c>
      <c r="NBK73" s="49">
        <v>1</v>
      </c>
      <c r="NBL73" s="58">
        <v>2.5</v>
      </c>
      <c r="NBM73" s="58">
        <v>5</v>
      </c>
      <c r="NBN73" s="58">
        <v>4</v>
      </c>
      <c r="NBO73" s="49">
        <f>INDEX($T$2:$T$11,MATCH(NBK73,$R$2:$R$11,0))</f>
        <v>0.37</v>
      </c>
      <c r="NBP73" s="49">
        <f t="shared" si="296"/>
        <v>50</v>
      </c>
      <c r="NBQ73" s="57">
        <f t="shared" si="297"/>
        <v>18.5</v>
      </c>
      <c r="NBR73" s="59" t="s">
        <v>44</v>
      </c>
      <c r="NBS73" s="49" t="s">
        <v>44</v>
      </c>
      <c r="NBT73" s="51">
        <v>45117</v>
      </c>
      <c r="NBU73" s="49"/>
      <c r="NBV73" s="49" t="s">
        <v>43</v>
      </c>
      <c r="NBW73" s="49" t="s">
        <v>45</v>
      </c>
      <c r="NBX73" s="49" t="s">
        <v>42</v>
      </c>
      <c r="NBY73" s="49" t="s">
        <v>0</v>
      </c>
      <c r="NBZ73" s="49">
        <v>0</v>
      </c>
      <c r="NCA73" s="49">
        <v>1</v>
      </c>
      <c r="NCB73" s="58">
        <v>2.5</v>
      </c>
      <c r="NCC73" s="58">
        <v>5</v>
      </c>
      <c r="NCD73" s="58">
        <v>4</v>
      </c>
      <c r="NCE73" s="49">
        <f>INDEX($T$2:$T$11,MATCH(NCA73,$R$2:$R$11,0))</f>
        <v>0.37</v>
      </c>
      <c r="NCF73" s="49">
        <f t="shared" ref="NCF73:NEB73" si="298">NCB73*NCC73*NCD73</f>
        <v>50</v>
      </c>
      <c r="NCG73" s="57">
        <f t="shared" ref="NCG73:NEC73" si="299">NCE73*NCF73</f>
        <v>18.5</v>
      </c>
      <c r="NCH73" s="59" t="s">
        <v>44</v>
      </c>
      <c r="NCI73" s="49" t="s">
        <v>44</v>
      </c>
      <c r="NCJ73" s="51">
        <v>45117</v>
      </c>
      <c r="NCK73" s="49"/>
      <c r="NCL73" s="49" t="s">
        <v>43</v>
      </c>
      <c r="NCM73" s="49" t="s">
        <v>45</v>
      </c>
      <c r="NCN73" s="49" t="s">
        <v>42</v>
      </c>
      <c r="NCO73" s="49" t="s">
        <v>0</v>
      </c>
      <c r="NCP73" s="49">
        <v>0</v>
      </c>
      <c r="NCQ73" s="49">
        <v>1</v>
      </c>
      <c r="NCR73" s="58">
        <v>2.5</v>
      </c>
      <c r="NCS73" s="58">
        <v>5</v>
      </c>
      <c r="NCT73" s="58">
        <v>4</v>
      </c>
      <c r="NCU73" s="49">
        <f>INDEX($T$2:$T$11,MATCH(NCQ73,$R$2:$R$11,0))</f>
        <v>0.37</v>
      </c>
      <c r="NCV73" s="49">
        <f t="shared" si="298"/>
        <v>50</v>
      </c>
      <c r="NCW73" s="57">
        <f t="shared" si="299"/>
        <v>18.5</v>
      </c>
      <c r="NCX73" s="59" t="s">
        <v>44</v>
      </c>
      <c r="NCY73" s="49" t="s">
        <v>44</v>
      </c>
      <c r="NCZ73" s="51">
        <v>45117</v>
      </c>
      <c r="NDA73" s="49"/>
      <c r="NDB73" s="49" t="s">
        <v>43</v>
      </c>
      <c r="NDC73" s="49" t="s">
        <v>45</v>
      </c>
      <c r="NDD73" s="49" t="s">
        <v>42</v>
      </c>
      <c r="NDE73" s="49" t="s">
        <v>0</v>
      </c>
      <c r="NDF73" s="49">
        <v>0</v>
      </c>
      <c r="NDG73" s="49">
        <v>1</v>
      </c>
      <c r="NDH73" s="58">
        <v>2.5</v>
      </c>
      <c r="NDI73" s="58">
        <v>5</v>
      </c>
      <c r="NDJ73" s="58">
        <v>4</v>
      </c>
      <c r="NDK73" s="49">
        <f>INDEX($T$2:$T$11,MATCH(NDG73,$R$2:$R$11,0))</f>
        <v>0.37</v>
      </c>
      <c r="NDL73" s="49">
        <f t="shared" si="298"/>
        <v>50</v>
      </c>
      <c r="NDM73" s="57">
        <f t="shared" si="299"/>
        <v>18.5</v>
      </c>
      <c r="NDN73" s="59" t="s">
        <v>44</v>
      </c>
      <c r="NDO73" s="49" t="s">
        <v>44</v>
      </c>
      <c r="NDP73" s="51">
        <v>45117</v>
      </c>
      <c r="NDQ73" s="49"/>
      <c r="NDR73" s="49" t="s">
        <v>43</v>
      </c>
      <c r="NDS73" s="49" t="s">
        <v>45</v>
      </c>
      <c r="NDT73" s="49" t="s">
        <v>42</v>
      </c>
      <c r="NDU73" s="49" t="s">
        <v>0</v>
      </c>
      <c r="NDV73" s="49">
        <v>0</v>
      </c>
      <c r="NDW73" s="49">
        <v>1</v>
      </c>
      <c r="NDX73" s="58">
        <v>2.5</v>
      </c>
      <c r="NDY73" s="58">
        <v>5</v>
      </c>
      <c r="NDZ73" s="58">
        <v>4</v>
      </c>
      <c r="NEA73" s="49">
        <f>INDEX($T$2:$T$11,MATCH(NDW73,$R$2:$R$11,0))</f>
        <v>0.37</v>
      </c>
      <c r="NEB73" s="49">
        <f t="shared" si="298"/>
        <v>50</v>
      </c>
      <c r="NEC73" s="57">
        <f t="shared" si="299"/>
        <v>18.5</v>
      </c>
      <c r="NED73" s="59" t="s">
        <v>44</v>
      </c>
      <c r="NEE73" s="49" t="s">
        <v>44</v>
      </c>
      <c r="NEF73" s="51">
        <v>45117</v>
      </c>
      <c r="NEG73" s="49"/>
      <c r="NEH73" s="49" t="s">
        <v>43</v>
      </c>
      <c r="NEI73" s="49" t="s">
        <v>45</v>
      </c>
      <c r="NEJ73" s="49" t="s">
        <v>42</v>
      </c>
      <c r="NEK73" s="49" t="s">
        <v>0</v>
      </c>
      <c r="NEL73" s="49">
        <v>0</v>
      </c>
      <c r="NEM73" s="49">
        <v>1</v>
      </c>
      <c r="NEN73" s="58">
        <v>2.5</v>
      </c>
      <c r="NEO73" s="58">
        <v>5</v>
      </c>
      <c r="NEP73" s="58">
        <v>4</v>
      </c>
      <c r="NEQ73" s="49">
        <f>INDEX($T$2:$T$11,MATCH(NEM73,$R$2:$R$11,0))</f>
        <v>0.37</v>
      </c>
      <c r="NER73" s="49">
        <f t="shared" ref="NER73:NGN73" si="300">NEN73*NEO73*NEP73</f>
        <v>50</v>
      </c>
      <c r="NES73" s="57">
        <f t="shared" ref="NES73:NGO73" si="301">NEQ73*NER73</f>
        <v>18.5</v>
      </c>
      <c r="NET73" s="59" t="s">
        <v>44</v>
      </c>
      <c r="NEU73" s="49" t="s">
        <v>44</v>
      </c>
      <c r="NEV73" s="51">
        <v>45117</v>
      </c>
      <c r="NEW73" s="49"/>
      <c r="NEX73" s="49" t="s">
        <v>43</v>
      </c>
      <c r="NEY73" s="49" t="s">
        <v>45</v>
      </c>
      <c r="NEZ73" s="49" t="s">
        <v>42</v>
      </c>
      <c r="NFA73" s="49" t="s">
        <v>0</v>
      </c>
      <c r="NFB73" s="49">
        <v>0</v>
      </c>
      <c r="NFC73" s="49">
        <v>1</v>
      </c>
      <c r="NFD73" s="58">
        <v>2.5</v>
      </c>
      <c r="NFE73" s="58">
        <v>5</v>
      </c>
      <c r="NFF73" s="58">
        <v>4</v>
      </c>
      <c r="NFG73" s="49">
        <f>INDEX($T$2:$T$11,MATCH(NFC73,$R$2:$R$11,0))</f>
        <v>0.37</v>
      </c>
      <c r="NFH73" s="49">
        <f t="shared" si="300"/>
        <v>50</v>
      </c>
      <c r="NFI73" s="57">
        <f t="shared" si="301"/>
        <v>18.5</v>
      </c>
      <c r="NFJ73" s="59" t="s">
        <v>44</v>
      </c>
      <c r="NFK73" s="49" t="s">
        <v>44</v>
      </c>
      <c r="NFL73" s="51">
        <v>45117</v>
      </c>
      <c r="NFM73" s="49"/>
      <c r="NFN73" s="49" t="s">
        <v>43</v>
      </c>
      <c r="NFO73" s="49" t="s">
        <v>45</v>
      </c>
      <c r="NFP73" s="49" t="s">
        <v>42</v>
      </c>
      <c r="NFQ73" s="49" t="s">
        <v>0</v>
      </c>
      <c r="NFR73" s="49">
        <v>0</v>
      </c>
      <c r="NFS73" s="49">
        <v>1</v>
      </c>
      <c r="NFT73" s="58">
        <v>2.5</v>
      </c>
      <c r="NFU73" s="58">
        <v>5</v>
      </c>
      <c r="NFV73" s="58">
        <v>4</v>
      </c>
      <c r="NFW73" s="49">
        <f>INDEX($T$2:$T$11,MATCH(NFS73,$R$2:$R$11,0))</f>
        <v>0.37</v>
      </c>
      <c r="NFX73" s="49">
        <f t="shared" si="300"/>
        <v>50</v>
      </c>
      <c r="NFY73" s="57">
        <f t="shared" si="301"/>
        <v>18.5</v>
      </c>
      <c r="NFZ73" s="59" t="s">
        <v>44</v>
      </c>
      <c r="NGA73" s="49" t="s">
        <v>44</v>
      </c>
      <c r="NGB73" s="51">
        <v>45117</v>
      </c>
      <c r="NGC73" s="49"/>
      <c r="NGD73" s="49" t="s">
        <v>43</v>
      </c>
      <c r="NGE73" s="49" t="s">
        <v>45</v>
      </c>
      <c r="NGF73" s="49" t="s">
        <v>42</v>
      </c>
      <c r="NGG73" s="49" t="s">
        <v>0</v>
      </c>
      <c r="NGH73" s="49">
        <v>0</v>
      </c>
      <c r="NGI73" s="49">
        <v>1</v>
      </c>
      <c r="NGJ73" s="58">
        <v>2.5</v>
      </c>
      <c r="NGK73" s="58">
        <v>5</v>
      </c>
      <c r="NGL73" s="58">
        <v>4</v>
      </c>
      <c r="NGM73" s="49">
        <f>INDEX($T$2:$T$11,MATCH(NGI73,$R$2:$R$11,0))</f>
        <v>0.37</v>
      </c>
      <c r="NGN73" s="49">
        <f t="shared" si="300"/>
        <v>50</v>
      </c>
      <c r="NGO73" s="57">
        <f t="shared" si="301"/>
        <v>18.5</v>
      </c>
      <c r="NGP73" s="59" t="s">
        <v>44</v>
      </c>
      <c r="NGQ73" s="49" t="s">
        <v>44</v>
      </c>
      <c r="NGR73" s="51">
        <v>45117</v>
      </c>
      <c r="NGS73" s="49"/>
      <c r="NGT73" s="49" t="s">
        <v>43</v>
      </c>
      <c r="NGU73" s="49" t="s">
        <v>45</v>
      </c>
      <c r="NGV73" s="49" t="s">
        <v>42</v>
      </c>
      <c r="NGW73" s="49" t="s">
        <v>0</v>
      </c>
      <c r="NGX73" s="49">
        <v>0</v>
      </c>
      <c r="NGY73" s="49">
        <v>1</v>
      </c>
      <c r="NGZ73" s="58">
        <v>2.5</v>
      </c>
      <c r="NHA73" s="58">
        <v>5</v>
      </c>
      <c r="NHB73" s="58">
        <v>4</v>
      </c>
      <c r="NHC73" s="49">
        <f>INDEX($T$2:$T$11,MATCH(NGY73,$R$2:$R$11,0))</f>
        <v>0.37</v>
      </c>
      <c r="NHD73" s="49">
        <f t="shared" ref="NHD73:NIZ73" si="302">NGZ73*NHA73*NHB73</f>
        <v>50</v>
      </c>
      <c r="NHE73" s="57">
        <f t="shared" ref="NHE73:NJA73" si="303">NHC73*NHD73</f>
        <v>18.5</v>
      </c>
      <c r="NHF73" s="59" t="s">
        <v>44</v>
      </c>
      <c r="NHG73" s="49" t="s">
        <v>44</v>
      </c>
      <c r="NHH73" s="51">
        <v>45117</v>
      </c>
      <c r="NHI73" s="49"/>
      <c r="NHJ73" s="49" t="s">
        <v>43</v>
      </c>
      <c r="NHK73" s="49" t="s">
        <v>45</v>
      </c>
      <c r="NHL73" s="49" t="s">
        <v>42</v>
      </c>
      <c r="NHM73" s="49" t="s">
        <v>0</v>
      </c>
      <c r="NHN73" s="49">
        <v>0</v>
      </c>
      <c r="NHO73" s="49">
        <v>1</v>
      </c>
      <c r="NHP73" s="58">
        <v>2.5</v>
      </c>
      <c r="NHQ73" s="58">
        <v>5</v>
      </c>
      <c r="NHR73" s="58">
        <v>4</v>
      </c>
      <c r="NHS73" s="49">
        <f>INDEX($T$2:$T$11,MATCH(NHO73,$R$2:$R$11,0))</f>
        <v>0.37</v>
      </c>
      <c r="NHT73" s="49">
        <f t="shared" si="302"/>
        <v>50</v>
      </c>
      <c r="NHU73" s="57">
        <f t="shared" si="303"/>
        <v>18.5</v>
      </c>
      <c r="NHV73" s="59" t="s">
        <v>44</v>
      </c>
      <c r="NHW73" s="49" t="s">
        <v>44</v>
      </c>
      <c r="NHX73" s="51">
        <v>45117</v>
      </c>
      <c r="NHY73" s="49"/>
      <c r="NHZ73" s="49" t="s">
        <v>43</v>
      </c>
      <c r="NIA73" s="49" t="s">
        <v>45</v>
      </c>
      <c r="NIB73" s="49" t="s">
        <v>42</v>
      </c>
      <c r="NIC73" s="49" t="s">
        <v>0</v>
      </c>
      <c r="NID73" s="49">
        <v>0</v>
      </c>
      <c r="NIE73" s="49">
        <v>1</v>
      </c>
      <c r="NIF73" s="58">
        <v>2.5</v>
      </c>
      <c r="NIG73" s="58">
        <v>5</v>
      </c>
      <c r="NIH73" s="58">
        <v>4</v>
      </c>
      <c r="NII73" s="49">
        <f>INDEX($T$2:$T$11,MATCH(NIE73,$R$2:$R$11,0))</f>
        <v>0.37</v>
      </c>
      <c r="NIJ73" s="49">
        <f t="shared" si="302"/>
        <v>50</v>
      </c>
      <c r="NIK73" s="57">
        <f t="shared" si="303"/>
        <v>18.5</v>
      </c>
      <c r="NIL73" s="59" t="s">
        <v>44</v>
      </c>
      <c r="NIM73" s="49" t="s">
        <v>44</v>
      </c>
      <c r="NIN73" s="51">
        <v>45117</v>
      </c>
      <c r="NIO73" s="49"/>
      <c r="NIP73" s="49" t="s">
        <v>43</v>
      </c>
      <c r="NIQ73" s="49" t="s">
        <v>45</v>
      </c>
      <c r="NIR73" s="49" t="s">
        <v>42</v>
      </c>
      <c r="NIS73" s="49" t="s">
        <v>0</v>
      </c>
      <c r="NIT73" s="49">
        <v>0</v>
      </c>
      <c r="NIU73" s="49">
        <v>1</v>
      </c>
      <c r="NIV73" s="58">
        <v>2.5</v>
      </c>
      <c r="NIW73" s="58">
        <v>5</v>
      </c>
      <c r="NIX73" s="58">
        <v>4</v>
      </c>
      <c r="NIY73" s="49">
        <f>INDEX($T$2:$T$11,MATCH(NIU73,$R$2:$R$11,0))</f>
        <v>0.37</v>
      </c>
      <c r="NIZ73" s="49">
        <f t="shared" si="302"/>
        <v>50</v>
      </c>
      <c r="NJA73" s="57">
        <f t="shared" si="303"/>
        <v>18.5</v>
      </c>
      <c r="NJB73" s="59" t="s">
        <v>44</v>
      </c>
      <c r="NJC73" s="49" t="s">
        <v>44</v>
      </c>
      <c r="NJD73" s="51">
        <v>45117</v>
      </c>
      <c r="NJE73" s="49"/>
      <c r="NJF73" s="49" t="s">
        <v>43</v>
      </c>
      <c r="NJG73" s="49" t="s">
        <v>45</v>
      </c>
      <c r="NJH73" s="49" t="s">
        <v>42</v>
      </c>
      <c r="NJI73" s="49" t="s">
        <v>0</v>
      </c>
      <c r="NJJ73" s="49">
        <v>0</v>
      </c>
      <c r="NJK73" s="49">
        <v>1</v>
      </c>
      <c r="NJL73" s="58">
        <v>2.5</v>
      </c>
      <c r="NJM73" s="58">
        <v>5</v>
      </c>
      <c r="NJN73" s="58">
        <v>4</v>
      </c>
      <c r="NJO73" s="49">
        <f>INDEX($T$2:$T$11,MATCH(NJK73,$R$2:$R$11,0))</f>
        <v>0.37</v>
      </c>
      <c r="NJP73" s="49">
        <f t="shared" ref="NJP73:NLL73" si="304">NJL73*NJM73*NJN73</f>
        <v>50</v>
      </c>
      <c r="NJQ73" s="57">
        <f t="shared" ref="NJQ73:NLM73" si="305">NJO73*NJP73</f>
        <v>18.5</v>
      </c>
      <c r="NJR73" s="59" t="s">
        <v>44</v>
      </c>
      <c r="NJS73" s="49" t="s">
        <v>44</v>
      </c>
      <c r="NJT73" s="51">
        <v>45117</v>
      </c>
      <c r="NJU73" s="49"/>
      <c r="NJV73" s="49" t="s">
        <v>43</v>
      </c>
      <c r="NJW73" s="49" t="s">
        <v>45</v>
      </c>
      <c r="NJX73" s="49" t="s">
        <v>42</v>
      </c>
      <c r="NJY73" s="49" t="s">
        <v>0</v>
      </c>
      <c r="NJZ73" s="49">
        <v>0</v>
      </c>
      <c r="NKA73" s="49">
        <v>1</v>
      </c>
      <c r="NKB73" s="58">
        <v>2.5</v>
      </c>
      <c r="NKC73" s="58">
        <v>5</v>
      </c>
      <c r="NKD73" s="58">
        <v>4</v>
      </c>
      <c r="NKE73" s="49">
        <f>INDEX($T$2:$T$11,MATCH(NKA73,$R$2:$R$11,0))</f>
        <v>0.37</v>
      </c>
      <c r="NKF73" s="49">
        <f t="shared" si="304"/>
        <v>50</v>
      </c>
      <c r="NKG73" s="57">
        <f t="shared" si="305"/>
        <v>18.5</v>
      </c>
      <c r="NKH73" s="59" t="s">
        <v>44</v>
      </c>
      <c r="NKI73" s="49" t="s">
        <v>44</v>
      </c>
      <c r="NKJ73" s="51">
        <v>45117</v>
      </c>
      <c r="NKK73" s="49"/>
      <c r="NKL73" s="49" t="s">
        <v>43</v>
      </c>
      <c r="NKM73" s="49" t="s">
        <v>45</v>
      </c>
      <c r="NKN73" s="49" t="s">
        <v>42</v>
      </c>
      <c r="NKO73" s="49" t="s">
        <v>0</v>
      </c>
      <c r="NKP73" s="49">
        <v>0</v>
      </c>
      <c r="NKQ73" s="49">
        <v>1</v>
      </c>
      <c r="NKR73" s="58">
        <v>2.5</v>
      </c>
      <c r="NKS73" s="58">
        <v>5</v>
      </c>
      <c r="NKT73" s="58">
        <v>4</v>
      </c>
      <c r="NKU73" s="49">
        <f>INDEX($T$2:$T$11,MATCH(NKQ73,$R$2:$R$11,0))</f>
        <v>0.37</v>
      </c>
      <c r="NKV73" s="49">
        <f t="shared" si="304"/>
        <v>50</v>
      </c>
      <c r="NKW73" s="57">
        <f t="shared" si="305"/>
        <v>18.5</v>
      </c>
      <c r="NKX73" s="59" t="s">
        <v>44</v>
      </c>
      <c r="NKY73" s="49" t="s">
        <v>44</v>
      </c>
      <c r="NKZ73" s="51">
        <v>45117</v>
      </c>
      <c r="NLA73" s="49"/>
      <c r="NLB73" s="49" t="s">
        <v>43</v>
      </c>
      <c r="NLC73" s="49" t="s">
        <v>45</v>
      </c>
      <c r="NLD73" s="49" t="s">
        <v>42</v>
      </c>
      <c r="NLE73" s="49" t="s">
        <v>0</v>
      </c>
      <c r="NLF73" s="49">
        <v>0</v>
      </c>
      <c r="NLG73" s="49">
        <v>1</v>
      </c>
      <c r="NLH73" s="58">
        <v>2.5</v>
      </c>
      <c r="NLI73" s="58">
        <v>5</v>
      </c>
      <c r="NLJ73" s="58">
        <v>4</v>
      </c>
      <c r="NLK73" s="49">
        <f>INDEX($T$2:$T$11,MATCH(NLG73,$R$2:$R$11,0))</f>
        <v>0.37</v>
      </c>
      <c r="NLL73" s="49">
        <f t="shared" si="304"/>
        <v>50</v>
      </c>
      <c r="NLM73" s="57">
        <f t="shared" si="305"/>
        <v>18.5</v>
      </c>
      <c r="NLN73" s="59" t="s">
        <v>44</v>
      </c>
      <c r="NLO73" s="49" t="s">
        <v>44</v>
      </c>
      <c r="NLP73" s="51">
        <v>45117</v>
      </c>
      <c r="NLQ73" s="49"/>
      <c r="NLR73" s="49" t="s">
        <v>43</v>
      </c>
      <c r="NLS73" s="49" t="s">
        <v>45</v>
      </c>
      <c r="NLT73" s="49" t="s">
        <v>42</v>
      </c>
      <c r="NLU73" s="49" t="s">
        <v>0</v>
      </c>
      <c r="NLV73" s="49">
        <v>0</v>
      </c>
      <c r="NLW73" s="49">
        <v>1</v>
      </c>
      <c r="NLX73" s="58">
        <v>2.5</v>
      </c>
      <c r="NLY73" s="58">
        <v>5</v>
      </c>
      <c r="NLZ73" s="58">
        <v>4</v>
      </c>
      <c r="NMA73" s="49">
        <f>INDEX($T$2:$T$11,MATCH(NLW73,$R$2:$R$11,0))</f>
        <v>0.37</v>
      </c>
      <c r="NMB73" s="49">
        <f t="shared" ref="NMB73:NNX73" si="306">NLX73*NLY73*NLZ73</f>
        <v>50</v>
      </c>
      <c r="NMC73" s="57">
        <f t="shared" ref="NMC73:NNY73" si="307">NMA73*NMB73</f>
        <v>18.5</v>
      </c>
      <c r="NMD73" s="59" t="s">
        <v>44</v>
      </c>
      <c r="NME73" s="49" t="s">
        <v>44</v>
      </c>
      <c r="NMF73" s="51">
        <v>45117</v>
      </c>
      <c r="NMG73" s="49"/>
      <c r="NMH73" s="49" t="s">
        <v>43</v>
      </c>
      <c r="NMI73" s="49" t="s">
        <v>45</v>
      </c>
      <c r="NMJ73" s="49" t="s">
        <v>42</v>
      </c>
      <c r="NMK73" s="49" t="s">
        <v>0</v>
      </c>
      <c r="NML73" s="49">
        <v>0</v>
      </c>
      <c r="NMM73" s="49">
        <v>1</v>
      </c>
      <c r="NMN73" s="58">
        <v>2.5</v>
      </c>
      <c r="NMO73" s="58">
        <v>5</v>
      </c>
      <c r="NMP73" s="58">
        <v>4</v>
      </c>
      <c r="NMQ73" s="49">
        <f>INDEX($T$2:$T$11,MATCH(NMM73,$R$2:$R$11,0))</f>
        <v>0.37</v>
      </c>
      <c r="NMR73" s="49">
        <f t="shared" si="306"/>
        <v>50</v>
      </c>
      <c r="NMS73" s="57">
        <f t="shared" si="307"/>
        <v>18.5</v>
      </c>
      <c r="NMT73" s="59" t="s">
        <v>44</v>
      </c>
      <c r="NMU73" s="49" t="s">
        <v>44</v>
      </c>
      <c r="NMV73" s="51">
        <v>45117</v>
      </c>
      <c r="NMW73" s="49"/>
      <c r="NMX73" s="49" t="s">
        <v>43</v>
      </c>
      <c r="NMY73" s="49" t="s">
        <v>45</v>
      </c>
      <c r="NMZ73" s="49" t="s">
        <v>42</v>
      </c>
      <c r="NNA73" s="49" t="s">
        <v>0</v>
      </c>
      <c r="NNB73" s="49">
        <v>0</v>
      </c>
      <c r="NNC73" s="49">
        <v>1</v>
      </c>
      <c r="NND73" s="58">
        <v>2.5</v>
      </c>
      <c r="NNE73" s="58">
        <v>5</v>
      </c>
      <c r="NNF73" s="58">
        <v>4</v>
      </c>
      <c r="NNG73" s="49">
        <f>INDEX($T$2:$T$11,MATCH(NNC73,$R$2:$R$11,0))</f>
        <v>0.37</v>
      </c>
      <c r="NNH73" s="49">
        <f t="shared" si="306"/>
        <v>50</v>
      </c>
      <c r="NNI73" s="57">
        <f t="shared" si="307"/>
        <v>18.5</v>
      </c>
      <c r="NNJ73" s="59" t="s">
        <v>44</v>
      </c>
      <c r="NNK73" s="49" t="s">
        <v>44</v>
      </c>
      <c r="NNL73" s="51">
        <v>45117</v>
      </c>
      <c r="NNM73" s="49"/>
      <c r="NNN73" s="49" t="s">
        <v>43</v>
      </c>
      <c r="NNO73" s="49" t="s">
        <v>45</v>
      </c>
      <c r="NNP73" s="49" t="s">
        <v>42</v>
      </c>
      <c r="NNQ73" s="49" t="s">
        <v>0</v>
      </c>
      <c r="NNR73" s="49">
        <v>0</v>
      </c>
      <c r="NNS73" s="49">
        <v>1</v>
      </c>
      <c r="NNT73" s="58">
        <v>2.5</v>
      </c>
      <c r="NNU73" s="58">
        <v>5</v>
      </c>
      <c r="NNV73" s="58">
        <v>4</v>
      </c>
      <c r="NNW73" s="49">
        <f>INDEX($T$2:$T$11,MATCH(NNS73,$R$2:$R$11,0))</f>
        <v>0.37</v>
      </c>
      <c r="NNX73" s="49">
        <f t="shared" si="306"/>
        <v>50</v>
      </c>
      <c r="NNY73" s="57">
        <f t="shared" si="307"/>
        <v>18.5</v>
      </c>
      <c r="NNZ73" s="59" t="s">
        <v>44</v>
      </c>
      <c r="NOA73" s="49" t="s">
        <v>44</v>
      </c>
      <c r="NOB73" s="51">
        <v>45117</v>
      </c>
      <c r="NOC73" s="49"/>
      <c r="NOD73" s="49" t="s">
        <v>43</v>
      </c>
      <c r="NOE73" s="49" t="s">
        <v>45</v>
      </c>
      <c r="NOF73" s="49" t="s">
        <v>42</v>
      </c>
      <c r="NOG73" s="49" t="s">
        <v>0</v>
      </c>
      <c r="NOH73" s="49">
        <v>0</v>
      </c>
      <c r="NOI73" s="49">
        <v>1</v>
      </c>
      <c r="NOJ73" s="58">
        <v>2.5</v>
      </c>
      <c r="NOK73" s="58">
        <v>5</v>
      </c>
      <c r="NOL73" s="58">
        <v>4</v>
      </c>
      <c r="NOM73" s="49">
        <f>INDEX($T$2:$T$11,MATCH(NOI73,$R$2:$R$11,0))</f>
        <v>0.37</v>
      </c>
      <c r="NON73" s="49">
        <f t="shared" ref="NON73:NQJ73" si="308">NOJ73*NOK73*NOL73</f>
        <v>50</v>
      </c>
      <c r="NOO73" s="57">
        <f t="shared" ref="NOO73:NQK73" si="309">NOM73*NON73</f>
        <v>18.5</v>
      </c>
      <c r="NOP73" s="59" t="s">
        <v>44</v>
      </c>
      <c r="NOQ73" s="49" t="s">
        <v>44</v>
      </c>
      <c r="NOR73" s="51">
        <v>45117</v>
      </c>
      <c r="NOS73" s="49"/>
      <c r="NOT73" s="49" t="s">
        <v>43</v>
      </c>
      <c r="NOU73" s="49" t="s">
        <v>45</v>
      </c>
      <c r="NOV73" s="49" t="s">
        <v>42</v>
      </c>
      <c r="NOW73" s="49" t="s">
        <v>0</v>
      </c>
      <c r="NOX73" s="49">
        <v>0</v>
      </c>
      <c r="NOY73" s="49">
        <v>1</v>
      </c>
      <c r="NOZ73" s="58">
        <v>2.5</v>
      </c>
      <c r="NPA73" s="58">
        <v>5</v>
      </c>
      <c r="NPB73" s="58">
        <v>4</v>
      </c>
      <c r="NPC73" s="49">
        <f>INDEX($T$2:$T$11,MATCH(NOY73,$R$2:$R$11,0))</f>
        <v>0.37</v>
      </c>
      <c r="NPD73" s="49">
        <f t="shared" si="308"/>
        <v>50</v>
      </c>
      <c r="NPE73" s="57">
        <f t="shared" si="309"/>
        <v>18.5</v>
      </c>
      <c r="NPF73" s="59" t="s">
        <v>44</v>
      </c>
      <c r="NPG73" s="49" t="s">
        <v>44</v>
      </c>
      <c r="NPH73" s="51">
        <v>45117</v>
      </c>
      <c r="NPI73" s="49"/>
      <c r="NPJ73" s="49" t="s">
        <v>43</v>
      </c>
      <c r="NPK73" s="49" t="s">
        <v>45</v>
      </c>
      <c r="NPL73" s="49" t="s">
        <v>42</v>
      </c>
      <c r="NPM73" s="49" t="s">
        <v>0</v>
      </c>
      <c r="NPN73" s="49">
        <v>0</v>
      </c>
      <c r="NPO73" s="49">
        <v>1</v>
      </c>
      <c r="NPP73" s="58">
        <v>2.5</v>
      </c>
      <c r="NPQ73" s="58">
        <v>5</v>
      </c>
      <c r="NPR73" s="58">
        <v>4</v>
      </c>
      <c r="NPS73" s="49">
        <f>INDEX($T$2:$T$11,MATCH(NPO73,$R$2:$R$11,0))</f>
        <v>0.37</v>
      </c>
      <c r="NPT73" s="49">
        <f t="shared" si="308"/>
        <v>50</v>
      </c>
      <c r="NPU73" s="57">
        <f t="shared" si="309"/>
        <v>18.5</v>
      </c>
      <c r="NPV73" s="59" t="s">
        <v>44</v>
      </c>
      <c r="NPW73" s="49" t="s">
        <v>44</v>
      </c>
      <c r="NPX73" s="51">
        <v>45117</v>
      </c>
      <c r="NPY73" s="49"/>
      <c r="NPZ73" s="49" t="s">
        <v>43</v>
      </c>
      <c r="NQA73" s="49" t="s">
        <v>45</v>
      </c>
      <c r="NQB73" s="49" t="s">
        <v>42</v>
      </c>
      <c r="NQC73" s="49" t="s">
        <v>0</v>
      </c>
      <c r="NQD73" s="49">
        <v>0</v>
      </c>
      <c r="NQE73" s="49">
        <v>1</v>
      </c>
      <c r="NQF73" s="58">
        <v>2.5</v>
      </c>
      <c r="NQG73" s="58">
        <v>5</v>
      </c>
      <c r="NQH73" s="58">
        <v>4</v>
      </c>
      <c r="NQI73" s="49">
        <f>INDEX($T$2:$T$11,MATCH(NQE73,$R$2:$R$11,0))</f>
        <v>0.37</v>
      </c>
      <c r="NQJ73" s="49">
        <f t="shared" si="308"/>
        <v>50</v>
      </c>
      <c r="NQK73" s="57">
        <f t="shared" si="309"/>
        <v>18.5</v>
      </c>
      <c r="NQL73" s="59" t="s">
        <v>44</v>
      </c>
      <c r="NQM73" s="49" t="s">
        <v>44</v>
      </c>
      <c r="NQN73" s="51">
        <v>45117</v>
      </c>
      <c r="NQO73" s="49"/>
      <c r="NQP73" s="49" t="s">
        <v>43</v>
      </c>
      <c r="NQQ73" s="49" t="s">
        <v>45</v>
      </c>
      <c r="NQR73" s="49" t="s">
        <v>42</v>
      </c>
      <c r="NQS73" s="49" t="s">
        <v>0</v>
      </c>
      <c r="NQT73" s="49">
        <v>0</v>
      </c>
      <c r="NQU73" s="49">
        <v>1</v>
      </c>
      <c r="NQV73" s="58">
        <v>2.5</v>
      </c>
      <c r="NQW73" s="58">
        <v>5</v>
      </c>
      <c r="NQX73" s="58">
        <v>4</v>
      </c>
      <c r="NQY73" s="49">
        <f>INDEX($T$2:$T$11,MATCH(NQU73,$R$2:$R$11,0))</f>
        <v>0.37</v>
      </c>
      <c r="NQZ73" s="49">
        <f t="shared" ref="NQZ73:NSV73" si="310">NQV73*NQW73*NQX73</f>
        <v>50</v>
      </c>
      <c r="NRA73" s="57">
        <f t="shared" ref="NRA73:NSW73" si="311">NQY73*NQZ73</f>
        <v>18.5</v>
      </c>
      <c r="NRB73" s="59" t="s">
        <v>44</v>
      </c>
      <c r="NRC73" s="49" t="s">
        <v>44</v>
      </c>
      <c r="NRD73" s="51">
        <v>45117</v>
      </c>
      <c r="NRE73" s="49"/>
      <c r="NRF73" s="49" t="s">
        <v>43</v>
      </c>
      <c r="NRG73" s="49" t="s">
        <v>45</v>
      </c>
      <c r="NRH73" s="49" t="s">
        <v>42</v>
      </c>
      <c r="NRI73" s="49" t="s">
        <v>0</v>
      </c>
      <c r="NRJ73" s="49">
        <v>0</v>
      </c>
      <c r="NRK73" s="49">
        <v>1</v>
      </c>
      <c r="NRL73" s="58">
        <v>2.5</v>
      </c>
      <c r="NRM73" s="58">
        <v>5</v>
      </c>
      <c r="NRN73" s="58">
        <v>4</v>
      </c>
      <c r="NRO73" s="49">
        <f>INDEX($T$2:$T$11,MATCH(NRK73,$R$2:$R$11,0))</f>
        <v>0.37</v>
      </c>
      <c r="NRP73" s="49">
        <f t="shared" si="310"/>
        <v>50</v>
      </c>
      <c r="NRQ73" s="57">
        <f t="shared" si="311"/>
        <v>18.5</v>
      </c>
      <c r="NRR73" s="59" t="s">
        <v>44</v>
      </c>
      <c r="NRS73" s="49" t="s">
        <v>44</v>
      </c>
      <c r="NRT73" s="51">
        <v>45117</v>
      </c>
      <c r="NRU73" s="49"/>
      <c r="NRV73" s="49" t="s">
        <v>43</v>
      </c>
      <c r="NRW73" s="49" t="s">
        <v>45</v>
      </c>
      <c r="NRX73" s="49" t="s">
        <v>42</v>
      </c>
      <c r="NRY73" s="49" t="s">
        <v>0</v>
      </c>
      <c r="NRZ73" s="49">
        <v>0</v>
      </c>
      <c r="NSA73" s="49">
        <v>1</v>
      </c>
      <c r="NSB73" s="58">
        <v>2.5</v>
      </c>
      <c r="NSC73" s="58">
        <v>5</v>
      </c>
      <c r="NSD73" s="58">
        <v>4</v>
      </c>
      <c r="NSE73" s="49">
        <f>INDEX($T$2:$T$11,MATCH(NSA73,$R$2:$R$11,0))</f>
        <v>0.37</v>
      </c>
      <c r="NSF73" s="49">
        <f t="shared" si="310"/>
        <v>50</v>
      </c>
      <c r="NSG73" s="57">
        <f t="shared" si="311"/>
        <v>18.5</v>
      </c>
      <c r="NSH73" s="59" t="s">
        <v>44</v>
      </c>
      <c r="NSI73" s="49" t="s">
        <v>44</v>
      </c>
      <c r="NSJ73" s="51">
        <v>45117</v>
      </c>
      <c r="NSK73" s="49"/>
      <c r="NSL73" s="49" t="s">
        <v>43</v>
      </c>
      <c r="NSM73" s="49" t="s">
        <v>45</v>
      </c>
      <c r="NSN73" s="49" t="s">
        <v>42</v>
      </c>
      <c r="NSO73" s="49" t="s">
        <v>0</v>
      </c>
      <c r="NSP73" s="49">
        <v>0</v>
      </c>
      <c r="NSQ73" s="49">
        <v>1</v>
      </c>
      <c r="NSR73" s="58">
        <v>2.5</v>
      </c>
      <c r="NSS73" s="58">
        <v>5</v>
      </c>
      <c r="NST73" s="58">
        <v>4</v>
      </c>
      <c r="NSU73" s="49">
        <f>INDEX($T$2:$T$11,MATCH(NSQ73,$R$2:$R$11,0))</f>
        <v>0.37</v>
      </c>
      <c r="NSV73" s="49">
        <f t="shared" si="310"/>
        <v>50</v>
      </c>
      <c r="NSW73" s="57">
        <f t="shared" si="311"/>
        <v>18.5</v>
      </c>
      <c r="NSX73" s="59" t="s">
        <v>44</v>
      </c>
      <c r="NSY73" s="49" t="s">
        <v>44</v>
      </c>
      <c r="NSZ73" s="51">
        <v>45117</v>
      </c>
      <c r="NTA73" s="49"/>
      <c r="NTB73" s="49" t="s">
        <v>43</v>
      </c>
      <c r="NTC73" s="49" t="s">
        <v>45</v>
      </c>
      <c r="NTD73" s="49" t="s">
        <v>42</v>
      </c>
      <c r="NTE73" s="49" t="s">
        <v>0</v>
      </c>
      <c r="NTF73" s="49">
        <v>0</v>
      </c>
      <c r="NTG73" s="49">
        <v>1</v>
      </c>
      <c r="NTH73" s="58">
        <v>2.5</v>
      </c>
      <c r="NTI73" s="58">
        <v>5</v>
      </c>
      <c r="NTJ73" s="58">
        <v>4</v>
      </c>
      <c r="NTK73" s="49">
        <f>INDEX($T$2:$T$11,MATCH(NTG73,$R$2:$R$11,0))</f>
        <v>0.37</v>
      </c>
      <c r="NTL73" s="49">
        <f t="shared" ref="NTL73:NVH73" si="312">NTH73*NTI73*NTJ73</f>
        <v>50</v>
      </c>
      <c r="NTM73" s="57">
        <f t="shared" ref="NTM73:NVI73" si="313">NTK73*NTL73</f>
        <v>18.5</v>
      </c>
      <c r="NTN73" s="59" t="s">
        <v>44</v>
      </c>
      <c r="NTO73" s="49" t="s">
        <v>44</v>
      </c>
      <c r="NTP73" s="51">
        <v>45117</v>
      </c>
      <c r="NTQ73" s="49"/>
      <c r="NTR73" s="49" t="s">
        <v>43</v>
      </c>
      <c r="NTS73" s="49" t="s">
        <v>45</v>
      </c>
      <c r="NTT73" s="49" t="s">
        <v>42</v>
      </c>
      <c r="NTU73" s="49" t="s">
        <v>0</v>
      </c>
      <c r="NTV73" s="49">
        <v>0</v>
      </c>
      <c r="NTW73" s="49">
        <v>1</v>
      </c>
      <c r="NTX73" s="58">
        <v>2.5</v>
      </c>
      <c r="NTY73" s="58">
        <v>5</v>
      </c>
      <c r="NTZ73" s="58">
        <v>4</v>
      </c>
      <c r="NUA73" s="49">
        <f>INDEX($T$2:$T$11,MATCH(NTW73,$R$2:$R$11,0))</f>
        <v>0.37</v>
      </c>
      <c r="NUB73" s="49">
        <f t="shared" si="312"/>
        <v>50</v>
      </c>
      <c r="NUC73" s="57">
        <f t="shared" si="313"/>
        <v>18.5</v>
      </c>
      <c r="NUD73" s="59" t="s">
        <v>44</v>
      </c>
      <c r="NUE73" s="49" t="s">
        <v>44</v>
      </c>
      <c r="NUF73" s="51">
        <v>45117</v>
      </c>
      <c r="NUG73" s="49"/>
      <c r="NUH73" s="49" t="s">
        <v>43</v>
      </c>
      <c r="NUI73" s="49" t="s">
        <v>45</v>
      </c>
      <c r="NUJ73" s="49" t="s">
        <v>42</v>
      </c>
      <c r="NUK73" s="49" t="s">
        <v>0</v>
      </c>
      <c r="NUL73" s="49">
        <v>0</v>
      </c>
      <c r="NUM73" s="49">
        <v>1</v>
      </c>
      <c r="NUN73" s="58">
        <v>2.5</v>
      </c>
      <c r="NUO73" s="58">
        <v>5</v>
      </c>
      <c r="NUP73" s="58">
        <v>4</v>
      </c>
      <c r="NUQ73" s="49">
        <f>INDEX($T$2:$T$11,MATCH(NUM73,$R$2:$R$11,0))</f>
        <v>0.37</v>
      </c>
      <c r="NUR73" s="49">
        <f t="shared" si="312"/>
        <v>50</v>
      </c>
      <c r="NUS73" s="57">
        <f t="shared" si="313"/>
        <v>18.5</v>
      </c>
      <c r="NUT73" s="59" t="s">
        <v>44</v>
      </c>
      <c r="NUU73" s="49" t="s">
        <v>44</v>
      </c>
      <c r="NUV73" s="51">
        <v>45117</v>
      </c>
      <c r="NUW73" s="49"/>
      <c r="NUX73" s="49" t="s">
        <v>43</v>
      </c>
      <c r="NUY73" s="49" t="s">
        <v>45</v>
      </c>
      <c r="NUZ73" s="49" t="s">
        <v>42</v>
      </c>
      <c r="NVA73" s="49" t="s">
        <v>0</v>
      </c>
      <c r="NVB73" s="49">
        <v>0</v>
      </c>
      <c r="NVC73" s="49">
        <v>1</v>
      </c>
      <c r="NVD73" s="58">
        <v>2.5</v>
      </c>
      <c r="NVE73" s="58">
        <v>5</v>
      </c>
      <c r="NVF73" s="58">
        <v>4</v>
      </c>
      <c r="NVG73" s="49">
        <f>INDEX($T$2:$T$11,MATCH(NVC73,$R$2:$R$11,0))</f>
        <v>0.37</v>
      </c>
      <c r="NVH73" s="49">
        <f t="shared" si="312"/>
        <v>50</v>
      </c>
      <c r="NVI73" s="57">
        <f t="shared" si="313"/>
        <v>18.5</v>
      </c>
      <c r="NVJ73" s="59" t="s">
        <v>44</v>
      </c>
      <c r="NVK73" s="49" t="s">
        <v>44</v>
      </c>
      <c r="NVL73" s="51">
        <v>45117</v>
      </c>
      <c r="NVM73" s="49"/>
      <c r="NVN73" s="49" t="s">
        <v>43</v>
      </c>
      <c r="NVO73" s="49" t="s">
        <v>45</v>
      </c>
      <c r="NVP73" s="49" t="s">
        <v>42</v>
      </c>
      <c r="NVQ73" s="49" t="s">
        <v>0</v>
      </c>
      <c r="NVR73" s="49">
        <v>0</v>
      </c>
      <c r="NVS73" s="49">
        <v>1</v>
      </c>
      <c r="NVT73" s="58">
        <v>2.5</v>
      </c>
      <c r="NVU73" s="58">
        <v>5</v>
      </c>
      <c r="NVV73" s="58">
        <v>4</v>
      </c>
      <c r="NVW73" s="49">
        <f>INDEX($T$2:$T$11,MATCH(NVS73,$R$2:$R$11,0))</f>
        <v>0.37</v>
      </c>
      <c r="NVX73" s="49">
        <f t="shared" ref="NVX73:NXT73" si="314">NVT73*NVU73*NVV73</f>
        <v>50</v>
      </c>
      <c r="NVY73" s="57">
        <f t="shared" ref="NVY73:NXU73" si="315">NVW73*NVX73</f>
        <v>18.5</v>
      </c>
      <c r="NVZ73" s="59" t="s">
        <v>44</v>
      </c>
      <c r="NWA73" s="49" t="s">
        <v>44</v>
      </c>
      <c r="NWB73" s="51">
        <v>45117</v>
      </c>
      <c r="NWC73" s="49"/>
      <c r="NWD73" s="49" t="s">
        <v>43</v>
      </c>
      <c r="NWE73" s="49" t="s">
        <v>45</v>
      </c>
      <c r="NWF73" s="49" t="s">
        <v>42</v>
      </c>
      <c r="NWG73" s="49" t="s">
        <v>0</v>
      </c>
      <c r="NWH73" s="49">
        <v>0</v>
      </c>
      <c r="NWI73" s="49">
        <v>1</v>
      </c>
      <c r="NWJ73" s="58">
        <v>2.5</v>
      </c>
      <c r="NWK73" s="58">
        <v>5</v>
      </c>
      <c r="NWL73" s="58">
        <v>4</v>
      </c>
      <c r="NWM73" s="49">
        <f>INDEX($T$2:$T$11,MATCH(NWI73,$R$2:$R$11,0))</f>
        <v>0.37</v>
      </c>
      <c r="NWN73" s="49">
        <f t="shared" si="314"/>
        <v>50</v>
      </c>
      <c r="NWO73" s="57">
        <f t="shared" si="315"/>
        <v>18.5</v>
      </c>
      <c r="NWP73" s="59" t="s">
        <v>44</v>
      </c>
      <c r="NWQ73" s="49" t="s">
        <v>44</v>
      </c>
      <c r="NWR73" s="51">
        <v>45117</v>
      </c>
      <c r="NWS73" s="49"/>
      <c r="NWT73" s="49" t="s">
        <v>43</v>
      </c>
      <c r="NWU73" s="49" t="s">
        <v>45</v>
      </c>
      <c r="NWV73" s="49" t="s">
        <v>42</v>
      </c>
      <c r="NWW73" s="49" t="s">
        <v>0</v>
      </c>
      <c r="NWX73" s="49">
        <v>0</v>
      </c>
      <c r="NWY73" s="49">
        <v>1</v>
      </c>
      <c r="NWZ73" s="58">
        <v>2.5</v>
      </c>
      <c r="NXA73" s="58">
        <v>5</v>
      </c>
      <c r="NXB73" s="58">
        <v>4</v>
      </c>
      <c r="NXC73" s="49">
        <f>INDEX($T$2:$T$11,MATCH(NWY73,$R$2:$R$11,0))</f>
        <v>0.37</v>
      </c>
      <c r="NXD73" s="49">
        <f t="shared" si="314"/>
        <v>50</v>
      </c>
      <c r="NXE73" s="57">
        <f t="shared" si="315"/>
        <v>18.5</v>
      </c>
      <c r="NXF73" s="59" t="s">
        <v>44</v>
      </c>
      <c r="NXG73" s="49" t="s">
        <v>44</v>
      </c>
      <c r="NXH73" s="51">
        <v>45117</v>
      </c>
      <c r="NXI73" s="49"/>
      <c r="NXJ73" s="49" t="s">
        <v>43</v>
      </c>
      <c r="NXK73" s="49" t="s">
        <v>45</v>
      </c>
      <c r="NXL73" s="49" t="s">
        <v>42</v>
      </c>
      <c r="NXM73" s="49" t="s">
        <v>0</v>
      </c>
      <c r="NXN73" s="49">
        <v>0</v>
      </c>
      <c r="NXO73" s="49">
        <v>1</v>
      </c>
      <c r="NXP73" s="58">
        <v>2.5</v>
      </c>
      <c r="NXQ73" s="58">
        <v>5</v>
      </c>
      <c r="NXR73" s="58">
        <v>4</v>
      </c>
      <c r="NXS73" s="49">
        <f>INDEX($T$2:$T$11,MATCH(NXO73,$R$2:$R$11,0))</f>
        <v>0.37</v>
      </c>
      <c r="NXT73" s="49">
        <f t="shared" si="314"/>
        <v>50</v>
      </c>
      <c r="NXU73" s="57">
        <f t="shared" si="315"/>
        <v>18.5</v>
      </c>
      <c r="NXV73" s="59" t="s">
        <v>44</v>
      </c>
      <c r="NXW73" s="49" t="s">
        <v>44</v>
      </c>
      <c r="NXX73" s="51">
        <v>45117</v>
      </c>
      <c r="NXY73" s="49"/>
      <c r="NXZ73" s="49" t="s">
        <v>43</v>
      </c>
      <c r="NYA73" s="49" t="s">
        <v>45</v>
      </c>
      <c r="NYB73" s="49" t="s">
        <v>42</v>
      </c>
      <c r="NYC73" s="49" t="s">
        <v>0</v>
      </c>
      <c r="NYD73" s="49">
        <v>0</v>
      </c>
      <c r="NYE73" s="49">
        <v>1</v>
      </c>
      <c r="NYF73" s="58">
        <v>2.5</v>
      </c>
      <c r="NYG73" s="58">
        <v>5</v>
      </c>
      <c r="NYH73" s="58">
        <v>4</v>
      </c>
      <c r="NYI73" s="49">
        <f>INDEX($T$2:$T$11,MATCH(NYE73,$R$2:$R$11,0))</f>
        <v>0.37</v>
      </c>
      <c r="NYJ73" s="49">
        <f t="shared" ref="NYJ73:OAF73" si="316">NYF73*NYG73*NYH73</f>
        <v>50</v>
      </c>
      <c r="NYK73" s="57">
        <f t="shared" ref="NYK73:OAG73" si="317">NYI73*NYJ73</f>
        <v>18.5</v>
      </c>
      <c r="NYL73" s="59" t="s">
        <v>44</v>
      </c>
      <c r="NYM73" s="49" t="s">
        <v>44</v>
      </c>
      <c r="NYN73" s="51">
        <v>45117</v>
      </c>
      <c r="NYO73" s="49"/>
      <c r="NYP73" s="49" t="s">
        <v>43</v>
      </c>
      <c r="NYQ73" s="49" t="s">
        <v>45</v>
      </c>
      <c r="NYR73" s="49" t="s">
        <v>42</v>
      </c>
      <c r="NYS73" s="49" t="s">
        <v>0</v>
      </c>
      <c r="NYT73" s="49">
        <v>0</v>
      </c>
      <c r="NYU73" s="49">
        <v>1</v>
      </c>
      <c r="NYV73" s="58">
        <v>2.5</v>
      </c>
      <c r="NYW73" s="58">
        <v>5</v>
      </c>
      <c r="NYX73" s="58">
        <v>4</v>
      </c>
      <c r="NYY73" s="49">
        <f>INDEX($T$2:$T$11,MATCH(NYU73,$R$2:$R$11,0))</f>
        <v>0.37</v>
      </c>
      <c r="NYZ73" s="49">
        <f t="shared" si="316"/>
        <v>50</v>
      </c>
      <c r="NZA73" s="57">
        <f t="shared" si="317"/>
        <v>18.5</v>
      </c>
      <c r="NZB73" s="59" t="s">
        <v>44</v>
      </c>
      <c r="NZC73" s="49" t="s">
        <v>44</v>
      </c>
      <c r="NZD73" s="51">
        <v>45117</v>
      </c>
      <c r="NZE73" s="49"/>
      <c r="NZF73" s="49" t="s">
        <v>43</v>
      </c>
      <c r="NZG73" s="49" t="s">
        <v>45</v>
      </c>
      <c r="NZH73" s="49" t="s">
        <v>42</v>
      </c>
      <c r="NZI73" s="49" t="s">
        <v>0</v>
      </c>
      <c r="NZJ73" s="49">
        <v>0</v>
      </c>
      <c r="NZK73" s="49">
        <v>1</v>
      </c>
      <c r="NZL73" s="58">
        <v>2.5</v>
      </c>
      <c r="NZM73" s="58">
        <v>5</v>
      </c>
      <c r="NZN73" s="58">
        <v>4</v>
      </c>
      <c r="NZO73" s="49">
        <f>INDEX($T$2:$T$11,MATCH(NZK73,$R$2:$R$11,0))</f>
        <v>0.37</v>
      </c>
      <c r="NZP73" s="49">
        <f t="shared" si="316"/>
        <v>50</v>
      </c>
      <c r="NZQ73" s="57">
        <f t="shared" si="317"/>
        <v>18.5</v>
      </c>
      <c r="NZR73" s="59" t="s">
        <v>44</v>
      </c>
      <c r="NZS73" s="49" t="s">
        <v>44</v>
      </c>
      <c r="NZT73" s="51">
        <v>45117</v>
      </c>
      <c r="NZU73" s="49"/>
      <c r="NZV73" s="49" t="s">
        <v>43</v>
      </c>
      <c r="NZW73" s="49" t="s">
        <v>45</v>
      </c>
      <c r="NZX73" s="49" t="s">
        <v>42</v>
      </c>
      <c r="NZY73" s="49" t="s">
        <v>0</v>
      </c>
      <c r="NZZ73" s="49">
        <v>0</v>
      </c>
      <c r="OAA73" s="49">
        <v>1</v>
      </c>
      <c r="OAB73" s="58">
        <v>2.5</v>
      </c>
      <c r="OAC73" s="58">
        <v>5</v>
      </c>
      <c r="OAD73" s="58">
        <v>4</v>
      </c>
      <c r="OAE73" s="49">
        <f>INDEX($T$2:$T$11,MATCH(OAA73,$R$2:$R$11,0))</f>
        <v>0.37</v>
      </c>
      <c r="OAF73" s="49">
        <f t="shared" si="316"/>
        <v>50</v>
      </c>
      <c r="OAG73" s="57">
        <f t="shared" si="317"/>
        <v>18.5</v>
      </c>
      <c r="OAH73" s="59" t="s">
        <v>44</v>
      </c>
      <c r="OAI73" s="49" t="s">
        <v>44</v>
      </c>
      <c r="OAJ73" s="51">
        <v>45117</v>
      </c>
      <c r="OAK73" s="49"/>
      <c r="OAL73" s="49" t="s">
        <v>43</v>
      </c>
      <c r="OAM73" s="49" t="s">
        <v>45</v>
      </c>
      <c r="OAN73" s="49" t="s">
        <v>42</v>
      </c>
      <c r="OAO73" s="49" t="s">
        <v>0</v>
      </c>
      <c r="OAP73" s="49">
        <v>0</v>
      </c>
      <c r="OAQ73" s="49">
        <v>1</v>
      </c>
      <c r="OAR73" s="58">
        <v>2.5</v>
      </c>
      <c r="OAS73" s="58">
        <v>5</v>
      </c>
      <c r="OAT73" s="58">
        <v>4</v>
      </c>
      <c r="OAU73" s="49">
        <f>INDEX($T$2:$T$11,MATCH(OAQ73,$R$2:$R$11,0))</f>
        <v>0.37</v>
      </c>
      <c r="OAV73" s="49">
        <f t="shared" ref="OAV73:OCR73" si="318">OAR73*OAS73*OAT73</f>
        <v>50</v>
      </c>
      <c r="OAW73" s="57">
        <f t="shared" ref="OAW73:OCS73" si="319">OAU73*OAV73</f>
        <v>18.5</v>
      </c>
      <c r="OAX73" s="59" t="s">
        <v>44</v>
      </c>
      <c r="OAY73" s="49" t="s">
        <v>44</v>
      </c>
      <c r="OAZ73" s="51">
        <v>45117</v>
      </c>
      <c r="OBA73" s="49"/>
      <c r="OBB73" s="49" t="s">
        <v>43</v>
      </c>
      <c r="OBC73" s="49" t="s">
        <v>45</v>
      </c>
      <c r="OBD73" s="49" t="s">
        <v>42</v>
      </c>
      <c r="OBE73" s="49" t="s">
        <v>0</v>
      </c>
      <c r="OBF73" s="49">
        <v>0</v>
      </c>
      <c r="OBG73" s="49">
        <v>1</v>
      </c>
      <c r="OBH73" s="58">
        <v>2.5</v>
      </c>
      <c r="OBI73" s="58">
        <v>5</v>
      </c>
      <c r="OBJ73" s="58">
        <v>4</v>
      </c>
      <c r="OBK73" s="49">
        <f>INDEX($T$2:$T$11,MATCH(OBG73,$R$2:$R$11,0))</f>
        <v>0.37</v>
      </c>
      <c r="OBL73" s="49">
        <f t="shared" si="318"/>
        <v>50</v>
      </c>
      <c r="OBM73" s="57">
        <f t="shared" si="319"/>
        <v>18.5</v>
      </c>
      <c r="OBN73" s="59" t="s">
        <v>44</v>
      </c>
      <c r="OBO73" s="49" t="s">
        <v>44</v>
      </c>
      <c r="OBP73" s="51">
        <v>45117</v>
      </c>
      <c r="OBQ73" s="49"/>
      <c r="OBR73" s="49" t="s">
        <v>43</v>
      </c>
      <c r="OBS73" s="49" t="s">
        <v>45</v>
      </c>
      <c r="OBT73" s="49" t="s">
        <v>42</v>
      </c>
      <c r="OBU73" s="49" t="s">
        <v>0</v>
      </c>
      <c r="OBV73" s="49">
        <v>0</v>
      </c>
      <c r="OBW73" s="49">
        <v>1</v>
      </c>
      <c r="OBX73" s="58">
        <v>2.5</v>
      </c>
      <c r="OBY73" s="58">
        <v>5</v>
      </c>
      <c r="OBZ73" s="58">
        <v>4</v>
      </c>
      <c r="OCA73" s="49">
        <f>INDEX($T$2:$T$11,MATCH(OBW73,$R$2:$R$11,0))</f>
        <v>0.37</v>
      </c>
      <c r="OCB73" s="49">
        <f t="shared" si="318"/>
        <v>50</v>
      </c>
      <c r="OCC73" s="57">
        <f t="shared" si="319"/>
        <v>18.5</v>
      </c>
      <c r="OCD73" s="59" t="s">
        <v>44</v>
      </c>
      <c r="OCE73" s="49" t="s">
        <v>44</v>
      </c>
      <c r="OCF73" s="51">
        <v>45117</v>
      </c>
      <c r="OCG73" s="49"/>
      <c r="OCH73" s="49" t="s">
        <v>43</v>
      </c>
      <c r="OCI73" s="49" t="s">
        <v>45</v>
      </c>
      <c r="OCJ73" s="49" t="s">
        <v>42</v>
      </c>
      <c r="OCK73" s="49" t="s">
        <v>0</v>
      </c>
      <c r="OCL73" s="49">
        <v>0</v>
      </c>
      <c r="OCM73" s="49">
        <v>1</v>
      </c>
      <c r="OCN73" s="58">
        <v>2.5</v>
      </c>
      <c r="OCO73" s="58">
        <v>5</v>
      </c>
      <c r="OCP73" s="58">
        <v>4</v>
      </c>
      <c r="OCQ73" s="49">
        <f>INDEX($T$2:$T$11,MATCH(OCM73,$R$2:$R$11,0))</f>
        <v>0.37</v>
      </c>
      <c r="OCR73" s="49">
        <f t="shared" si="318"/>
        <v>50</v>
      </c>
      <c r="OCS73" s="57">
        <f t="shared" si="319"/>
        <v>18.5</v>
      </c>
      <c r="OCT73" s="59" t="s">
        <v>44</v>
      </c>
      <c r="OCU73" s="49" t="s">
        <v>44</v>
      </c>
      <c r="OCV73" s="51">
        <v>45117</v>
      </c>
      <c r="OCW73" s="49"/>
      <c r="OCX73" s="49" t="s">
        <v>43</v>
      </c>
      <c r="OCY73" s="49" t="s">
        <v>45</v>
      </c>
      <c r="OCZ73" s="49" t="s">
        <v>42</v>
      </c>
      <c r="ODA73" s="49" t="s">
        <v>0</v>
      </c>
      <c r="ODB73" s="49">
        <v>0</v>
      </c>
      <c r="ODC73" s="49">
        <v>1</v>
      </c>
      <c r="ODD73" s="58">
        <v>2.5</v>
      </c>
      <c r="ODE73" s="58">
        <v>5</v>
      </c>
      <c r="ODF73" s="58">
        <v>4</v>
      </c>
      <c r="ODG73" s="49">
        <f>INDEX($T$2:$T$11,MATCH(ODC73,$R$2:$R$11,0))</f>
        <v>0.37</v>
      </c>
      <c r="ODH73" s="49">
        <f t="shared" ref="ODH73:OFD73" si="320">ODD73*ODE73*ODF73</f>
        <v>50</v>
      </c>
      <c r="ODI73" s="57">
        <f t="shared" ref="ODI73:OFE73" si="321">ODG73*ODH73</f>
        <v>18.5</v>
      </c>
      <c r="ODJ73" s="59" t="s">
        <v>44</v>
      </c>
      <c r="ODK73" s="49" t="s">
        <v>44</v>
      </c>
      <c r="ODL73" s="51">
        <v>45117</v>
      </c>
      <c r="ODM73" s="49"/>
      <c r="ODN73" s="49" t="s">
        <v>43</v>
      </c>
      <c r="ODO73" s="49" t="s">
        <v>45</v>
      </c>
      <c r="ODP73" s="49" t="s">
        <v>42</v>
      </c>
      <c r="ODQ73" s="49" t="s">
        <v>0</v>
      </c>
      <c r="ODR73" s="49">
        <v>0</v>
      </c>
      <c r="ODS73" s="49">
        <v>1</v>
      </c>
      <c r="ODT73" s="58">
        <v>2.5</v>
      </c>
      <c r="ODU73" s="58">
        <v>5</v>
      </c>
      <c r="ODV73" s="58">
        <v>4</v>
      </c>
      <c r="ODW73" s="49">
        <f>INDEX($T$2:$T$11,MATCH(ODS73,$R$2:$R$11,0))</f>
        <v>0.37</v>
      </c>
      <c r="ODX73" s="49">
        <f t="shared" si="320"/>
        <v>50</v>
      </c>
      <c r="ODY73" s="57">
        <f t="shared" si="321"/>
        <v>18.5</v>
      </c>
      <c r="ODZ73" s="59" t="s">
        <v>44</v>
      </c>
      <c r="OEA73" s="49" t="s">
        <v>44</v>
      </c>
      <c r="OEB73" s="51">
        <v>45117</v>
      </c>
      <c r="OEC73" s="49"/>
      <c r="OED73" s="49" t="s">
        <v>43</v>
      </c>
      <c r="OEE73" s="49" t="s">
        <v>45</v>
      </c>
      <c r="OEF73" s="49" t="s">
        <v>42</v>
      </c>
      <c r="OEG73" s="49" t="s">
        <v>0</v>
      </c>
      <c r="OEH73" s="49">
        <v>0</v>
      </c>
      <c r="OEI73" s="49">
        <v>1</v>
      </c>
      <c r="OEJ73" s="58">
        <v>2.5</v>
      </c>
      <c r="OEK73" s="58">
        <v>5</v>
      </c>
      <c r="OEL73" s="58">
        <v>4</v>
      </c>
      <c r="OEM73" s="49">
        <f>INDEX($T$2:$T$11,MATCH(OEI73,$R$2:$R$11,0))</f>
        <v>0.37</v>
      </c>
      <c r="OEN73" s="49">
        <f t="shared" si="320"/>
        <v>50</v>
      </c>
      <c r="OEO73" s="57">
        <f t="shared" si="321"/>
        <v>18.5</v>
      </c>
      <c r="OEP73" s="59" t="s">
        <v>44</v>
      </c>
      <c r="OEQ73" s="49" t="s">
        <v>44</v>
      </c>
      <c r="OER73" s="51">
        <v>45117</v>
      </c>
      <c r="OES73" s="49"/>
      <c r="OET73" s="49" t="s">
        <v>43</v>
      </c>
      <c r="OEU73" s="49" t="s">
        <v>45</v>
      </c>
      <c r="OEV73" s="49" t="s">
        <v>42</v>
      </c>
      <c r="OEW73" s="49" t="s">
        <v>0</v>
      </c>
      <c r="OEX73" s="49">
        <v>0</v>
      </c>
      <c r="OEY73" s="49">
        <v>1</v>
      </c>
      <c r="OEZ73" s="58">
        <v>2.5</v>
      </c>
      <c r="OFA73" s="58">
        <v>5</v>
      </c>
      <c r="OFB73" s="58">
        <v>4</v>
      </c>
      <c r="OFC73" s="49">
        <f>INDEX($T$2:$T$11,MATCH(OEY73,$R$2:$R$11,0))</f>
        <v>0.37</v>
      </c>
      <c r="OFD73" s="49">
        <f t="shared" si="320"/>
        <v>50</v>
      </c>
      <c r="OFE73" s="57">
        <f t="shared" si="321"/>
        <v>18.5</v>
      </c>
      <c r="OFF73" s="59" t="s">
        <v>44</v>
      </c>
      <c r="OFG73" s="49" t="s">
        <v>44</v>
      </c>
      <c r="OFH73" s="51">
        <v>45117</v>
      </c>
      <c r="OFI73" s="49"/>
      <c r="OFJ73" s="49" t="s">
        <v>43</v>
      </c>
      <c r="OFK73" s="49" t="s">
        <v>45</v>
      </c>
      <c r="OFL73" s="49" t="s">
        <v>42</v>
      </c>
      <c r="OFM73" s="49" t="s">
        <v>0</v>
      </c>
      <c r="OFN73" s="49">
        <v>0</v>
      </c>
      <c r="OFO73" s="49">
        <v>1</v>
      </c>
      <c r="OFP73" s="58">
        <v>2.5</v>
      </c>
      <c r="OFQ73" s="58">
        <v>5</v>
      </c>
      <c r="OFR73" s="58">
        <v>4</v>
      </c>
      <c r="OFS73" s="49">
        <f>INDEX($T$2:$T$11,MATCH(OFO73,$R$2:$R$11,0))</f>
        <v>0.37</v>
      </c>
      <c r="OFT73" s="49">
        <f t="shared" ref="OFT73:OHP73" si="322">OFP73*OFQ73*OFR73</f>
        <v>50</v>
      </c>
      <c r="OFU73" s="57">
        <f t="shared" ref="OFU73:OHQ73" si="323">OFS73*OFT73</f>
        <v>18.5</v>
      </c>
      <c r="OFV73" s="59" t="s">
        <v>44</v>
      </c>
      <c r="OFW73" s="49" t="s">
        <v>44</v>
      </c>
      <c r="OFX73" s="51">
        <v>45117</v>
      </c>
      <c r="OFY73" s="49"/>
      <c r="OFZ73" s="49" t="s">
        <v>43</v>
      </c>
      <c r="OGA73" s="49" t="s">
        <v>45</v>
      </c>
      <c r="OGB73" s="49" t="s">
        <v>42</v>
      </c>
      <c r="OGC73" s="49" t="s">
        <v>0</v>
      </c>
      <c r="OGD73" s="49">
        <v>0</v>
      </c>
      <c r="OGE73" s="49">
        <v>1</v>
      </c>
      <c r="OGF73" s="58">
        <v>2.5</v>
      </c>
      <c r="OGG73" s="58">
        <v>5</v>
      </c>
      <c r="OGH73" s="58">
        <v>4</v>
      </c>
      <c r="OGI73" s="49">
        <f>INDEX($T$2:$T$11,MATCH(OGE73,$R$2:$R$11,0))</f>
        <v>0.37</v>
      </c>
      <c r="OGJ73" s="49">
        <f t="shared" si="322"/>
        <v>50</v>
      </c>
      <c r="OGK73" s="57">
        <f t="shared" si="323"/>
        <v>18.5</v>
      </c>
      <c r="OGL73" s="59" t="s">
        <v>44</v>
      </c>
      <c r="OGM73" s="49" t="s">
        <v>44</v>
      </c>
      <c r="OGN73" s="51">
        <v>45117</v>
      </c>
      <c r="OGO73" s="49"/>
      <c r="OGP73" s="49" t="s">
        <v>43</v>
      </c>
      <c r="OGQ73" s="49" t="s">
        <v>45</v>
      </c>
      <c r="OGR73" s="49" t="s">
        <v>42</v>
      </c>
      <c r="OGS73" s="49" t="s">
        <v>0</v>
      </c>
      <c r="OGT73" s="49">
        <v>0</v>
      </c>
      <c r="OGU73" s="49">
        <v>1</v>
      </c>
      <c r="OGV73" s="58">
        <v>2.5</v>
      </c>
      <c r="OGW73" s="58">
        <v>5</v>
      </c>
      <c r="OGX73" s="58">
        <v>4</v>
      </c>
      <c r="OGY73" s="49">
        <f>INDEX($T$2:$T$11,MATCH(OGU73,$R$2:$R$11,0))</f>
        <v>0.37</v>
      </c>
      <c r="OGZ73" s="49">
        <f t="shared" si="322"/>
        <v>50</v>
      </c>
      <c r="OHA73" s="57">
        <f t="shared" si="323"/>
        <v>18.5</v>
      </c>
      <c r="OHB73" s="59" t="s">
        <v>44</v>
      </c>
      <c r="OHC73" s="49" t="s">
        <v>44</v>
      </c>
      <c r="OHD73" s="51">
        <v>45117</v>
      </c>
      <c r="OHE73" s="49"/>
      <c r="OHF73" s="49" t="s">
        <v>43</v>
      </c>
      <c r="OHG73" s="49" t="s">
        <v>45</v>
      </c>
      <c r="OHH73" s="49" t="s">
        <v>42</v>
      </c>
      <c r="OHI73" s="49" t="s">
        <v>0</v>
      </c>
      <c r="OHJ73" s="49">
        <v>0</v>
      </c>
      <c r="OHK73" s="49">
        <v>1</v>
      </c>
      <c r="OHL73" s="58">
        <v>2.5</v>
      </c>
      <c r="OHM73" s="58">
        <v>5</v>
      </c>
      <c r="OHN73" s="58">
        <v>4</v>
      </c>
      <c r="OHO73" s="49">
        <f>INDEX($T$2:$T$11,MATCH(OHK73,$R$2:$R$11,0))</f>
        <v>0.37</v>
      </c>
      <c r="OHP73" s="49">
        <f t="shared" si="322"/>
        <v>50</v>
      </c>
      <c r="OHQ73" s="57">
        <f t="shared" si="323"/>
        <v>18.5</v>
      </c>
      <c r="OHR73" s="59" t="s">
        <v>44</v>
      </c>
      <c r="OHS73" s="49" t="s">
        <v>44</v>
      </c>
      <c r="OHT73" s="51">
        <v>45117</v>
      </c>
      <c r="OHU73" s="49"/>
      <c r="OHV73" s="49" t="s">
        <v>43</v>
      </c>
      <c r="OHW73" s="49" t="s">
        <v>45</v>
      </c>
      <c r="OHX73" s="49" t="s">
        <v>42</v>
      </c>
      <c r="OHY73" s="49" t="s">
        <v>0</v>
      </c>
      <c r="OHZ73" s="49">
        <v>0</v>
      </c>
      <c r="OIA73" s="49">
        <v>1</v>
      </c>
      <c r="OIB73" s="58">
        <v>2.5</v>
      </c>
      <c r="OIC73" s="58">
        <v>5</v>
      </c>
      <c r="OID73" s="58">
        <v>4</v>
      </c>
      <c r="OIE73" s="49">
        <f>INDEX($T$2:$T$11,MATCH(OIA73,$R$2:$R$11,0))</f>
        <v>0.37</v>
      </c>
      <c r="OIF73" s="49">
        <f t="shared" ref="OIF73:OKB73" si="324">OIB73*OIC73*OID73</f>
        <v>50</v>
      </c>
      <c r="OIG73" s="57">
        <f t="shared" ref="OIG73:OKC73" si="325">OIE73*OIF73</f>
        <v>18.5</v>
      </c>
      <c r="OIH73" s="59" t="s">
        <v>44</v>
      </c>
      <c r="OII73" s="49" t="s">
        <v>44</v>
      </c>
      <c r="OIJ73" s="51">
        <v>45117</v>
      </c>
      <c r="OIK73" s="49"/>
      <c r="OIL73" s="49" t="s">
        <v>43</v>
      </c>
      <c r="OIM73" s="49" t="s">
        <v>45</v>
      </c>
      <c r="OIN73" s="49" t="s">
        <v>42</v>
      </c>
      <c r="OIO73" s="49" t="s">
        <v>0</v>
      </c>
      <c r="OIP73" s="49">
        <v>0</v>
      </c>
      <c r="OIQ73" s="49">
        <v>1</v>
      </c>
      <c r="OIR73" s="58">
        <v>2.5</v>
      </c>
      <c r="OIS73" s="58">
        <v>5</v>
      </c>
      <c r="OIT73" s="58">
        <v>4</v>
      </c>
      <c r="OIU73" s="49">
        <f>INDEX($T$2:$T$11,MATCH(OIQ73,$R$2:$R$11,0))</f>
        <v>0.37</v>
      </c>
      <c r="OIV73" s="49">
        <f t="shared" si="324"/>
        <v>50</v>
      </c>
      <c r="OIW73" s="57">
        <f t="shared" si="325"/>
        <v>18.5</v>
      </c>
      <c r="OIX73" s="59" t="s">
        <v>44</v>
      </c>
      <c r="OIY73" s="49" t="s">
        <v>44</v>
      </c>
      <c r="OIZ73" s="51">
        <v>45117</v>
      </c>
      <c r="OJA73" s="49"/>
      <c r="OJB73" s="49" t="s">
        <v>43</v>
      </c>
      <c r="OJC73" s="49" t="s">
        <v>45</v>
      </c>
      <c r="OJD73" s="49" t="s">
        <v>42</v>
      </c>
      <c r="OJE73" s="49" t="s">
        <v>0</v>
      </c>
      <c r="OJF73" s="49">
        <v>0</v>
      </c>
      <c r="OJG73" s="49">
        <v>1</v>
      </c>
      <c r="OJH73" s="58">
        <v>2.5</v>
      </c>
      <c r="OJI73" s="58">
        <v>5</v>
      </c>
      <c r="OJJ73" s="58">
        <v>4</v>
      </c>
      <c r="OJK73" s="49">
        <f>INDEX($T$2:$T$11,MATCH(OJG73,$R$2:$R$11,0))</f>
        <v>0.37</v>
      </c>
      <c r="OJL73" s="49">
        <f t="shared" si="324"/>
        <v>50</v>
      </c>
      <c r="OJM73" s="57">
        <f t="shared" si="325"/>
        <v>18.5</v>
      </c>
      <c r="OJN73" s="59" t="s">
        <v>44</v>
      </c>
      <c r="OJO73" s="49" t="s">
        <v>44</v>
      </c>
      <c r="OJP73" s="51">
        <v>45117</v>
      </c>
      <c r="OJQ73" s="49"/>
      <c r="OJR73" s="49" t="s">
        <v>43</v>
      </c>
      <c r="OJS73" s="49" t="s">
        <v>45</v>
      </c>
      <c r="OJT73" s="49" t="s">
        <v>42</v>
      </c>
      <c r="OJU73" s="49" t="s">
        <v>0</v>
      </c>
      <c r="OJV73" s="49">
        <v>0</v>
      </c>
      <c r="OJW73" s="49">
        <v>1</v>
      </c>
      <c r="OJX73" s="58">
        <v>2.5</v>
      </c>
      <c r="OJY73" s="58">
        <v>5</v>
      </c>
      <c r="OJZ73" s="58">
        <v>4</v>
      </c>
      <c r="OKA73" s="49">
        <f>INDEX($T$2:$T$11,MATCH(OJW73,$R$2:$R$11,0))</f>
        <v>0.37</v>
      </c>
      <c r="OKB73" s="49">
        <f t="shared" si="324"/>
        <v>50</v>
      </c>
      <c r="OKC73" s="57">
        <f t="shared" si="325"/>
        <v>18.5</v>
      </c>
      <c r="OKD73" s="59" t="s">
        <v>44</v>
      </c>
      <c r="OKE73" s="49" t="s">
        <v>44</v>
      </c>
      <c r="OKF73" s="51">
        <v>45117</v>
      </c>
      <c r="OKG73" s="49"/>
      <c r="OKH73" s="49" t="s">
        <v>43</v>
      </c>
      <c r="OKI73" s="49" t="s">
        <v>45</v>
      </c>
      <c r="OKJ73" s="49" t="s">
        <v>42</v>
      </c>
      <c r="OKK73" s="49" t="s">
        <v>0</v>
      </c>
      <c r="OKL73" s="49">
        <v>0</v>
      </c>
      <c r="OKM73" s="49">
        <v>1</v>
      </c>
      <c r="OKN73" s="58">
        <v>2.5</v>
      </c>
      <c r="OKO73" s="58">
        <v>5</v>
      </c>
      <c r="OKP73" s="58">
        <v>4</v>
      </c>
      <c r="OKQ73" s="49">
        <f>INDEX($T$2:$T$11,MATCH(OKM73,$R$2:$R$11,0))</f>
        <v>0.37</v>
      </c>
      <c r="OKR73" s="49">
        <f t="shared" ref="OKR73:OMN73" si="326">OKN73*OKO73*OKP73</f>
        <v>50</v>
      </c>
      <c r="OKS73" s="57">
        <f t="shared" ref="OKS73:OMO73" si="327">OKQ73*OKR73</f>
        <v>18.5</v>
      </c>
      <c r="OKT73" s="59" t="s">
        <v>44</v>
      </c>
      <c r="OKU73" s="49" t="s">
        <v>44</v>
      </c>
      <c r="OKV73" s="51">
        <v>45117</v>
      </c>
      <c r="OKW73" s="49"/>
      <c r="OKX73" s="49" t="s">
        <v>43</v>
      </c>
      <c r="OKY73" s="49" t="s">
        <v>45</v>
      </c>
      <c r="OKZ73" s="49" t="s">
        <v>42</v>
      </c>
      <c r="OLA73" s="49" t="s">
        <v>0</v>
      </c>
      <c r="OLB73" s="49">
        <v>0</v>
      </c>
      <c r="OLC73" s="49">
        <v>1</v>
      </c>
      <c r="OLD73" s="58">
        <v>2.5</v>
      </c>
      <c r="OLE73" s="58">
        <v>5</v>
      </c>
      <c r="OLF73" s="58">
        <v>4</v>
      </c>
      <c r="OLG73" s="49">
        <f>INDEX($T$2:$T$11,MATCH(OLC73,$R$2:$R$11,0))</f>
        <v>0.37</v>
      </c>
      <c r="OLH73" s="49">
        <f t="shared" si="326"/>
        <v>50</v>
      </c>
      <c r="OLI73" s="57">
        <f t="shared" si="327"/>
        <v>18.5</v>
      </c>
      <c r="OLJ73" s="59" t="s">
        <v>44</v>
      </c>
      <c r="OLK73" s="49" t="s">
        <v>44</v>
      </c>
      <c r="OLL73" s="51">
        <v>45117</v>
      </c>
      <c r="OLM73" s="49"/>
      <c r="OLN73" s="49" t="s">
        <v>43</v>
      </c>
      <c r="OLO73" s="49" t="s">
        <v>45</v>
      </c>
      <c r="OLP73" s="49" t="s">
        <v>42</v>
      </c>
      <c r="OLQ73" s="49" t="s">
        <v>0</v>
      </c>
      <c r="OLR73" s="49">
        <v>0</v>
      </c>
      <c r="OLS73" s="49">
        <v>1</v>
      </c>
      <c r="OLT73" s="58">
        <v>2.5</v>
      </c>
      <c r="OLU73" s="58">
        <v>5</v>
      </c>
      <c r="OLV73" s="58">
        <v>4</v>
      </c>
      <c r="OLW73" s="49">
        <f>INDEX($T$2:$T$11,MATCH(OLS73,$R$2:$R$11,0))</f>
        <v>0.37</v>
      </c>
      <c r="OLX73" s="49">
        <f t="shared" si="326"/>
        <v>50</v>
      </c>
      <c r="OLY73" s="57">
        <f t="shared" si="327"/>
        <v>18.5</v>
      </c>
      <c r="OLZ73" s="59" t="s">
        <v>44</v>
      </c>
      <c r="OMA73" s="49" t="s">
        <v>44</v>
      </c>
      <c r="OMB73" s="51">
        <v>45117</v>
      </c>
      <c r="OMC73" s="49"/>
      <c r="OMD73" s="49" t="s">
        <v>43</v>
      </c>
      <c r="OME73" s="49" t="s">
        <v>45</v>
      </c>
      <c r="OMF73" s="49" t="s">
        <v>42</v>
      </c>
      <c r="OMG73" s="49" t="s">
        <v>0</v>
      </c>
      <c r="OMH73" s="49">
        <v>0</v>
      </c>
      <c r="OMI73" s="49">
        <v>1</v>
      </c>
      <c r="OMJ73" s="58">
        <v>2.5</v>
      </c>
      <c r="OMK73" s="58">
        <v>5</v>
      </c>
      <c r="OML73" s="58">
        <v>4</v>
      </c>
      <c r="OMM73" s="49">
        <f>INDEX($T$2:$T$11,MATCH(OMI73,$R$2:$R$11,0))</f>
        <v>0.37</v>
      </c>
      <c r="OMN73" s="49">
        <f t="shared" si="326"/>
        <v>50</v>
      </c>
      <c r="OMO73" s="57">
        <f t="shared" si="327"/>
        <v>18.5</v>
      </c>
      <c r="OMP73" s="59" t="s">
        <v>44</v>
      </c>
      <c r="OMQ73" s="49" t="s">
        <v>44</v>
      </c>
      <c r="OMR73" s="51">
        <v>45117</v>
      </c>
      <c r="OMS73" s="49"/>
      <c r="OMT73" s="49" t="s">
        <v>43</v>
      </c>
      <c r="OMU73" s="49" t="s">
        <v>45</v>
      </c>
      <c r="OMV73" s="49" t="s">
        <v>42</v>
      </c>
      <c r="OMW73" s="49" t="s">
        <v>0</v>
      </c>
      <c r="OMX73" s="49">
        <v>0</v>
      </c>
      <c r="OMY73" s="49">
        <v>1</v>
      </c>
      <c r="OMZ73" s="58">
        <v>2.5</v>
      </c>
      <c r="ONA73" s="58">
        <v>5</v>
      </c>
      <c r="ONB73" s="58">
        <v>4</v>
      </c>
      <c r="ONC73" s="49">
        <f>INDEX($T$2:$T$11,MATCH(OMY73,$R$2:$R$11,0))</f>
        <v>0.37</v>
      </c>
      <c r="OND73" s="49">
        <f t="shared" ref="OND73:OOZ73" si="328">OMZ73*ONA73*ONB73</f>
        <v>50</v>
      </c>
      <c r="ONE73" s="57">
        <f t="shared" ref="ONE73:OPA73" si="329">ONC73*OND73</f>
        <v>18.5</v>
      </c>
      <c r="ONF73" s="59" t="s">
        <v>44</v>
      </c>
      <c r="ONG73" s="49" t="s">
        <v>44</v>
      </c>
      <c r="ONH73" s="51">
        <v>45117</v>
      </c>
      <c r="ONI73" s="49"/>
      <c r="ONJ73" s="49" t="s">
        <v>43</v>
      </c>
      <c r="ONK73" s="49" t="s">
        <v>45</v>
      </c>
      <c r="ONL73" s="49" t="s">
        <v>42</v>
      </c>
      <c r="ONM73" s="49" t="s">
        <v>0</v>
      </c>
      <c r="ONN73" s="49">
        <v>0</v>
      </c>
      <c r="ONO73" s="49">
        <v>1</v>
      </c>
      <c r="ONP73" s="58">
        <v>2.5</v>
      </c>
      <c r="ONQ73" s="58">
        <v>5</v>
      </c>
      <c r="ONR73" s="58">
        <v>4</v>
      </c>
      <c r="ONS73" s="49">
        <f>INDEX($T$2:$T$11,MATCH(ONO73,$R$2:$R$11,0))</f>
        <v>0.37</v>
      </c>
      <c r="ONT73" s="49">
        <f t="shared" si="328"/>
        <v>50</v>
      </c>
      <c r="ONU73" s="57">
        <f t="shared" si="329"/>
        <v>18.5</v>
      </c>
      <c r="ONV73" s="59" t="s">
        <v>44</v>
      </c>
      <c r="ONW73" s="49" t="s">
        <v>44</v>
      </c>
      <c r="ONX73" s="51">
        <v>45117</v>
      </c>
      <c r="ONY73" s="49"/>
      <c r="ONZ73" s="49" t="s">
        <v>43</v>
      </c>
      <c r="OOA73" s="49" t="s">
        <v>45</v>
      </c>
      <c r="OOB73" s="49" t="s">
        <v>42</v>
      </c>
      <c r="OOC73" s="49" t="s">
        <v>0</v>
      </c>
      <c r="OOD73" s="49">
        <v>0</v>
      </c>
      <c r="OOE73" s="49">
        <v>1</v>
      </c>
      <c r="OOF73" s="58">
        <v>2.5</v>
      </c>
      <c r="OOG73" s="58">
        <v>5</v>
      </c>
      <c r="OOH73" s="58">
        <v>4</v>
      </c>
      <c r="OOI73" s="49">
        <f>INDEX($T$2:$T$11,MATCH(OOE73,$R$2:$R$11,0))</f>
        <v>0.37</v>
      </c>
      <c r="OOJ73" s="49">
        <f t="shared" si="328"/>
        <v>50</v>
      </c>
      <c r="OOK73" s="57">
        <f t="shared" si="329"/>
        <v>18.5</v>
      </c>
      <c r="OOL73" s="59" t="s">
        <v>44</v>
      </c>
      <c r="OOM73" s="49" t="s">
        <v>44</v>
      </c>
      <c r="OON73" s="51">
        <v>45117</v>
      </c>
      <c r="OOO73" s="49"/>
      <c r="OOP73" s="49" t="s">
        <v>43</v>
      </c>
      <c r="OOQ73" s="49" t="s">
        <v>45</v>
      </c>
      <c r="OOR73" s="49" t="s">
        <v>42</v>
      </c>
      <c r="OOS73" s="49" t="s">
        <v>0</v>
      </c>
      <c r="OOT73" s="49">
        <v>0</v>
      </c>
      <c r="OOU73" s="49">
        <v>1</v>
      </c>
      <c r="OOV73" s="58">
        <v>2.5</v>
      </c>
      <c r="OOW73" s="58">
        <v>5</v>
      </c>
      <c r="OOX73" s="58">
        <v>4</v>
      </c>
      <c r="OOY73" s="49">
        <f>INDEX($T$2:$T$11,MATCH(OOU73,$R$2:$R$11,0))</f>
        <v>0.37</v>
      </c>
      <c r="OOZ73" s="49">
        <f t="shared" si="328"/>
        <v>50</v>
      </c>
      <c r="OPA73" s="57">
        <f t="shared" si="329"/>
        <v>18.5</v>
      </c>
      <c r="OPB73" s="59" t="s">
        <v>44</v>
      </c>
      <c r="OPC73" s="49" t="s">
        <v>44</v>
      </c>
      <c r="OPD73" s="51">
        <v>45117</v>
      </c>
      <c r="OPE73" s="49"/>
      <c r="OPF73" s="49" t="s">
        <v>43</v>
      </c>
      <c r="OPG73" s="49" t="s">
        <v>45</v>
      </c>
      <c r="OPH73" s="49" t="s">
        <v>42</v>
      </c>
      <c r="OPI73" s="49" t="s">
        <v>0</v>
      </c>
      <c r="OPJ73" s="49">
        <v>0</v>
      </c>
      <c r="OPK73" s="49">
        <v>1</v>
      </c>
      <c r="OPL73" s="58">
        <v>2.5</v>
      </c>
      <c r="OPM73" s="58">
        <v>5</v>
      </c>
      <c r="OPN73" s="58">
        <v>4</v>
      </c>
      <c r="OPO73" s="49">
        <f>INDEX($T$2:$T$11,MATCH(OPK73,$R$2:$R$11,0))</f>
        <v>0.37</v>
      </c>
      <c r="OPP73" s="49">
        <f t="shared" ref="OPP73:ORL73" si="330">OPL73*OPM73*OPN73</f>
        <v>50</v>
      </c>
      <c r="OPQ73" s="57">
        <f t="shared" ref="OPQ73:ORM73" si="331">OPO73*OPP73</f>
        <v>18.5</v>
      </c>
      <c r="OPR73" s="59" t="s">
        <v>44</v>
      </c>
      <c r="OPS73" s="49" t="s">
        <v>44</v>
      </c>
      <c r="OPT73" s="51">
        <v>45117</v>
      </c>
      <c r="OPU73" s="49"/>
      <c r="OPV73" s="49" t="s">
        <v>43</v>
      </c>
      <c r="OPW73" s="49" t="s">
        <v>45</v>
      </c>
      <c r="OPX73" s="49" t="s">
        <v>42</v>
      </c>
      <c r="OPY73" s="49" t="s">
        <v>0</v>
      </c>
      <c r="OPZ73" s="49">
        <v>0</v>
      </c>
      <c r="OQA73" s="49">
        <v>1</v>
      </c>
      <c r="OQB73" s="58">
        <v>2.5</v>
      </c>
      <c r="OQC73" s="58">
        <v>5</v>
      </c>
      <c r="OQD73" s="58">
        <v>4</v>
      </c>
      <c r="OQE73" s="49">
        <f>INDEX($T$2:$T$11,MATCH(OQA73,$R$2:$R$11,0))</f>
        <v>0.37</v>
      </c>
      <c r="OQF73" s="49">
        <f t="shared" si="330"/>
        <v>50</v>
      </c>
      <c r="OQG73" s="57">
        <f t="shared" si="331"/>
        <v>18.5</v>
      </c>
      <c r="OQH73" s="59" t="s">
        <v>44</v>
      </c>
      <c r="OQI73" s="49" t="s">
        <v>44</v>
      </c>
      <c r="OQJ73" s="51">
        <v>45117</v>
      </c>
      <c r="OQK73" s="49"/>
      <c r="OQL73" s="49" t="s">
        <v>43</v>
      </c>
      <c r="OQM73" s="49" t="s">
        <v>45</v>
      </c>
      <c r="OQN73" s="49" t="s">
        <v>42</v>
      </c>
      <c r="OQO73" s="49" t="s">
        <v>0</v>
      </c>
      <c r="OQP73" s="49">
        <v>0</v>
      </c>
      <c r="OQQ73" s="49">
        <v>1</v>
      </c>
      <c r="OQR73" s="58">
        <v>2.5</v>
      </c>
      <c r="OQS73" s="58">
        <v>5</v>
      </c>
      <c r="OQT73" s="58">
        <v>4</v>
      </c>
      <c r="OQU73" s="49">
        <f>INDEX($T$2:$T$11,MATCH(OQQ73,$R$2:$R$11,0))</f>
        <v>0.37</v>
      </c>
      <c r="OQV73" s="49">
        <f t="shared" si="330"/>
        <v>50</v>
      </c>
      <c r="OQW73" s="57">
        <f t="shared" si="331"/>
        <v>18.5</v>
      </c>
      <c r="OQX73" s="59" t="s">
        <v>44</v>
      </c>
      <c r="OQY73" s="49" t="s">
        <v>44</v>
      </c>
      <c r="OQZ73" s="51">
        <v>45117</v>
      </c>
      <c r="ORA73" s="49"/>
      <c r="ORB73" s="49" t="s">
        <v>43</v>
      </c>
      <c r="ORC73" s="49" t="s">
        <v>45</v>
      </c>
      <c r="ORD73" s="49" t="s">
        <v>42</v>
      </c>
      <c r="ORE73" s="49" t="s">
        <v>0</v>
      </c>
      <c r="ORF73" s="49">
        <v>0</v>
      </c>
      <c r="ORG73" s="49">
        <v>1</v>
      </c>
      <c r="ORH73" s="58">
        <v>2.5</v>
      </c>
      <c r="ORI73" s="58">
        <v>5</v>
      </c>
      <c r="ORJ73" s="58">
        <v>4</v>
      </c>
      <c r="ORK73" s="49">
        <f>INDEX($T$2:$T$11,MATCH(ORG73,$R$2:$R$11,0))</f>
        <v>0.37</v>
      </c>
      <c r="ORL73" s="49">
        <f t="shared" si="330"/>
        <v>50</v>
      </c>
      <c r="ORM73" s="57">
        <f t="shared" si="331"/>
        <v>18.5</v>
      </c>
      <c r="ORN73" s="59" t="s">
        <v>44</v>
      </c>
      <c r="ORO73" s="49" t="s">
        <v>44</v>
      </c>
      <c r="ORP73" s="51">
        <v>45117</v>
      </c>
      <c r="ORQ73" s="49"/>
      <c r="ORR73" s="49" t="s">
        <v>43</v>
      </c>
      <c r="ORS73" s="49" t="s">
        <v>45</v>
      </c>
      <c r="ORT73" s="49" t="s">
        <v>42</v>
      </c>
      <c r="ORU73" s="49" t="s">
        <v>0</v>
      </c>
      <c r="ORV73" s="49">
        <v>0</v>
      </c>
      <c r="ORW73" s="49">
        <v>1</v>
      </c>
      <c r="ORX73" s="58">
        <v>2.5</v>
      </c>
      <c r="ORY73" s="58">
        <v>5</v>
      </c>
      <c r="ORZ73" s="58">
        <v>4</v>
      </c>
      <c r="OSA73" s="49">
        <f>INDEX($T$2:$T$11,MATCH(ORW73,$R$2:$R$11,0))</f>
        <v>0.37</v>
      </c>
      <c r="OSB73" s="49">
        <f t="shared" ref="OSB73:OTX73" si="332">ORX73*ORY73*ORZ73</f>
        <v>50</v>
      </c>
      <c r="OSC73" s="57">
        <f t="shared" ref="OSC73:OTY73" si="333">OSA73*OSB73</f>
        <v>18.5</v>
      </c>
      <c r="OSD73" s="59" t="s">
        <v>44</v>
      </c>
      <c r="OSE73" s="49" t="s">
        <v>44</v>
      </c>
      <c r="OSF73" s="51">
        <v>45117</v>
      </c>
      <c r="OSG73" s="49"/>
      <c r="OSH73" s="49" t="s">
        <v>43</v>
      </c>
      <c r="OSI73" s="49" t="s">
        <v>45</v>
      </c>
      <c r="OSJ73" s="49" t="s">
        <v>42</v>
      </c>
      <c r="OSK73" s="49" t="s">
        <v>0</v>
      </c>
      <c r="OSL73" s="49">
        <v>0</v>
      </c>
      <c r="OSM73" s="49">
        <v>1</v>
      </c>
      <c r="OSN73" s="58">
        <v>2.5</v>
      </c>
      <c r="OSO73" s="58">
        <v>5</v>
      </c>
      <c r="OSP73" s="58">
        <v>4</v>
      </c>
      <c r="OSQ73" s="49">
        <f>INDEX($T$2:$T$11,MATCH(OSM73,$R$2:$R$11,0))</f>
        <v>0.37</v>
      </c>
      <c r="OSR73" s="49">
        <f t="shared" si="332"/>
        <v>50</v>
      </c>
      <c r="OSS73" s="57">
        <f t="shared" si="333"/>
        <v>18.5</v>
      </c>
      <c r="OST73" s="59" t="s">
        <v>44</v>
      </c>
      <c r="OSU73" s="49" t="s">
        <v>44</v>
      </c>
      <c r="OSV73" s="51">
        <v>45117</v>
      </c>
      <c r="OSW73" s="49"/>
      <c r="OSX73" s="49" t="s">
        <v>43</v>
      </c>
      <c r="OSY73" s="49" t="s">
        <v>45</v>
      </c>
      <c r="OSZ73" s="49" t="s">
        <v>42</v>
      </c>
      <c r="OTA73" s="49" t="s">
        <v>0</v>
      </c>
      <c r="OTB73" s="49">
        <v>0</v>
      </c>
      <c r="OTC73" s="49">
        <v>1</v>
      </c>
      <c r="OTD73" s="58">
        <v>2.5</v>
      </c>
      <c r="OTE73" s="58">
        <v>5</v>
      </c>
      <c r="OTF73" s="58">
        <v>4</v>
      </c>
      <c r="OTG73" s="49">
        <f>INDEX($T$2:$T$11,MATCH(OTC73,$R$2:$R$11,0))</f>
        <v>0.37</v>
      </c>
      <c r="OTH73" s="49">
        <f t="shared" si="332"/>
        <v>50</v>
      </c>
      <c r="OTI73" s="57">
        <f t="shared" si="333"/>
        <v>18.5</v>
      </c>
      <c r="OTJ73" s="59" t="s">
        <v>44</v>
      </c>
      <c r="OTK73" s="49" t="s">
        <v>44</v>
      </c>
      <c r="OTL73" s="51">
        <v>45117</v>
      </c>
      <c r="OTM73" s="49"/>
      <c r="OTN73" s="49" t="s">
        <v>43</v>
      </c>
      <c r="OTO73" s="49" t="s">
        <v>45</v>
      </c>
      <c r="OTP73" s="49" t="s">
        <v>42</v>
      </c>
      <c r="OTQ73" s="49" t="s">
        <v>0</v>
      </c>
      <c r="OTR73" s="49">
        <v>0</v>
      </c>
      <c r="OTS73" s="49">
        <v>1</v>
      </c>
      <c r="OTT73" s="58">
        <v>2.5</v>
      </c>
      <c r="OTU73" s="58">
        <v>5</v>
      </c>
      <c r="OTV73" s="58">
        <v>4</v>
      </c>
      <c r="OTW73" s="49">
        <f>INDEX($T$2:$T$11,MATCH(OTS73,$R$2:$R$11,0))</f>
        <v>0.37</v>
      </c>
      <c r="OTX73" s="49">
        <f t="shared" si="332"/>
        <v>50</v>
      </c>
      <c r="OTY73" s="57">
        <f t="shared" si="333"/>
        <v>18.5</v>
      </c>
      <c r="OTZ73" s="59" t="s">
        <v>44</v>
      </c>
      <c r="OUA73" s="49" t="s">
        <v>44</v>
      </c>
      <c r="OUB73" s="51">
        <v>45117</v>
      </c>
      <c r="OUC73" s="49"/>
      <c r="OUD73" s="49" t="s">
        <v>43</v>
      </c>
      <c r="OUE73" s="49" t="s">
        <v>45</v>
      </c>
      <c r="OUF73" s="49" t="s">
        <v>42</v>
      </c>
      <c r="OUG73" s="49" t="s">
        <v>0</v>
      </c>
      <c r="OUH73" s="49">
        <v>0</v>
      </c>
      <c r="OUI73" s="49">
        <v>1</v>
      </c>
      <c r="OUJ73" s="58">
        <v>2.5</v>
      </c>
      <c r="OUK73" s="58">
        <v>5</v>
      </c>
      <c r="OUL73" s="58">
        <v>4</v>
      </c>
      <c r="OUM73" s="49">
        <f>INDEX($T$2:$T$11,MATCH(OUI73,$R$2:$R$11,0))</f>
        <v>0.37</v>
      </c>
      <c r="OUN73" s="49">
        <f t="shared" ref="OUN73:OWJ73" si="334">OUJ73*OUK73*OUL73</f>
        <v>50</v>
      </c>
      <c r="OUO73" s="57">
        <f t="shared" ref="OUO73:OWK73" si="335">OUM73*OUN73</f>
        <v>18.5</v>
      </c>
      <c r="OUP73" s="59" t="s">
        <v>44</v>
      </c>
      <c r="OUQ73" s="49" t="s">
        <v>44</v>
      </c>
      <c r="OUR73" s="51">
        <v>45117</v>
      </c>
      <c r="OUS73" s="49"/>
      <c r="OUT73" s="49" t="s">
        <v>43</v>
      </c>
      <c r="OUU73" s="49" t="s">
        <v>45</v>
      </c>
      <c r="OUV73" s="49" t="s">
        <v>42</v>
      </c>
      <c r="OUW73" s="49" t="s">
        <v>0</v>
      </c>
      <c r="OUX73" s="49">
        <v>0</v>
      </c>
      <c r="OUY73" s="49">
        <v>1</v>
      </c>
      <c r="OUZ73" s="58">
        <v>2.5</v>
      </c>
      <c r="OVA73" s="58">
        <v>5</v>
      </c>
      <c r="OVB73" s="58">
        <v>4</v>
      </c>
      <c r="OVC73" s="49">
        <f>INDEX($T$2:$T$11,MATCH(OUY73,$R$2:$R$11,0))</f>
        <v>0.37</v>
      </c>
      <c r="OVD73" s="49">
        <f t="shared" si="334"/>
        <v>50</v>
      </c>
      <c r="OVE73" s="57">
        <f t="shared" si="335"/>
        <v>18.5</v>
      </c>
      <c r="OVF73" s="59" t="s">
        <v>44</v>
      </c>
      <c r="OVG73" s="49" t="s">
        <v>44</v>
      </c>
      <c r="OVH73" s="51">
        <v>45117</v>
      </c>
      <c r="OVI73" s="49"/>
      <c r="OVJ73" s="49" t="s">
        <v>43</v>
      </c>
      <c r="OVK73" s="49" t="s">
        <v>45</v>
      </c>
      <c r="OVL73" s="49" t="s">
        <v>42</v>
      </c>
      <c r="OVM73" s="49" t="s">
        <v>0</v>
      </c>
      <c r="OVN73" s="49">
        <v>0</v>
      </c>
      <c r="OVO73" s="49">
        <v>1</v>
      </c>
      <c r="OVP73" s="58">
        <v>2.5</v>
      </c>
      <c r="OVQ73" s="58">
        <v>5</v>
      </c>
      <c r="OVR73" s="58">
        <v>4</v>
      </c>
      <c r="OVS73" s="49">
        <f>INDEX($T$2:$T$11,MATCH(OVO73,$R$2:$R$11,0))</f>
        <v>0.37</v>
      </c>
      <c r="OVT73" s="49">
        <f t="shared" si="334"/>
        <v>50</v>
      </c>
      <c r="OVU73" s="57">
        <f t="shared" si="335"/>
        <v>18.5</v>
      </c>
      <c r="OVV73" s="59" t="s">
        <v>44</v>
      </c>
      <c r="OVW73" s="49" t="s">
        <v>44</v>
      </c>
      <c r="OVX73" s="51">
        <v>45117</v>
      </c>
      <c r="OVY73" s="49"/>
      <c r="OVZ73" s="49" t="s">
        <v>43</v>
      </c>
      <c r="OWA73" s="49" t="s">
        <v>45</v>
      </c>
      <c r="OWB73" s="49" t="s">
        <v>42</v>
      </c>
      <c r="OWC73" s="49" t="s">
        <v>0</v>
      </c>
      <c r="OWD73" s="49">
        <v>0</v>
      </c>
      <c r="OWE73" s="49">
        <v>1</v>
      </c>
      <c r="OWF73" s="58">
        <v>2.5</v>
      </c>
      <c r="OWG73" s="58">
        <v>5</v>
      </c>
      <c r="OWH73" s="58">
        <v>4</v>
      </c>
      <c r="OWI73" s="49">
        <f>INDEX($T$2:$T$11,MATCH(OWE73,$R$2:$R$11,0))</f>
        <v>0.37</v>
      </c>
      <c r="OWJ73" s="49">
        <f t="shared" si="334"/>
        <v>50</v>
      </c>
      <c r="OWK73" s="57">
        <f t="shared" si="335"/>
        <v>18.5</v>
      </c>
      <c r="OWL73" s="59" t="s">
        <v>44</v>
      </c>
      <c r="OWM73" s="49" t="s">
        <v>44</v>
      </c>
      <c r="OWN73" s="51">
        <v>45117</v>
      </c>
      <c r="OWO73" s="49"/>
      <c r="OWP73" s="49" t="s">
        <v>43</v>
      </c>
      <c r="OWQ73" s="49" t="s">
        <v>45</v>
      </c>
      <c r="OWR73" s="49" t="s">
        <v>42</v>
      </c>
      <c r="OWS73" s="49" t="s">
        <v>0</v>
      </c>
      <c r="OWT73" s="49">
        <v>0</v>
      </c>
      <c r="OWU73" s="49">
        <v>1</v>
      </c>
      <c r="OWV73" s="58">
        <v>2.5</v>
      </c>
      <c r="OWW73" s="58">
        <v>5</v>
      </c>
      <c r="OWX73" s="58">
        <v>4</v>
      </c>
      <c r="OWY73" s="49">
        <f>INDEX($T$2:$T$11,MATCH(OWU73,$R$2:$R$11,0))</f>
        <v>0.37</v>
      </c>
      <c r="OWZ73" s="49">
        <f t="shared" ref="OWZ73:OYV73" si="336">OWV73*OWW73*OWX73</f>
        <v>50</v>
      </c>
      <c r="OXA73" s="57">
        <f t="shared" ref="OXA73:OYW73" si="337">OWY73*OWZ73</f>
        <v>18.5</v>
      </c>
      <c r="OXB73" s="59" t="s">
        <v>44</v>
      </c>
      <c r="OXC73" s="49" t="s">
        <v>44</v>
      </c>
      <c r="OXD73" s="51">
        <v>45117</v>
      </c>
      <c r="OXE73" s="49"/>
      <c r="OXF73" s="49" t="s">
        <v>43</v>
      </c>
      <c r="OXG73" s="49" t="s">
        <v>45</v>
      </c>
      <c r="OXH73" s="49" t="s">
        <v>42</v>
      </c>
      <c r="OXI73" s="49" t="s">
        <v>0</v>
      </c>
      <c r="OXJ73" s="49">
        <v>0</v>
      </c>
      <c r="OXK73" s="49">
        <v>1</v>
      </c>
      <c r="OXL73" s="58">
        <v>2.5</v>
      </c>
      <c r="OXM73" s="58">
        <v>5</v>
      </c>
      <c r="OXN73" s="58">
        <v>4</v>
      </c>
      <c r="OXO73" s="49">
        <f>INDEX($T$2:$T$11,MATCH(OXK73,$R$2:$R$11,0))</f>
        <v>0.37</v>
      </c>
      <c r="OXP73" s="49">
        <f t="shared" si="336"/>
        <v>50</v>
      </c>
      <c r="OXQ73" s="57">
        <f t="shared" si="337"/>
        <v>18.5</v>
      </c>
      <c r="OXR73" s="59" t="s">
        <v>44</v>
      </c>
      <c r="OXS73" s="49" t="s">
        <v>44</v>
      </c>
      <c r="OXT73" s="51">
        <v>45117</v>
      </c>
      <c r="OXU73" s="49"/>
      <c r="OXV73" s="49" t="s">
        <v>43</v>
      </c>
      <c r="OXW73" s="49" t="s">
        <v>45</v>
      </c>
      <c r="OXX73" s="49" t="s">
        <v>42</v>
      </c>
      <c r="OXY73" s="49" t="s">
        <v>0</v>
      </c>
      <c r="OXZ73" s="49">
        <v>0</v>
      </c>
      <c r="OYA73" s="49">
        <v>1</v>
      </c>
      <c r="OYB73" s="58">
        <v>2.5</v>
      </c>
      <c r="OYC73" s="58">
        <v>5</v>
      </c>
      <c r="OYD73" s="58">
        <v>4</v>
      </c>
      <c r="OYE73" s="49">
        <f>INDEX($T$2:$T$11,MATCH(OYA73,$R$2:$R$11,0))</f>
        <v>0.37</v>
      </c>
      <c r="OYF73" s="49">
        <f t="shared" si="336"/>
        <v>50</v>
      </c>
      <c r="OYG73" s="57">
        <f t="shared" si="337"/>
        <v>18.5</v>
      </c>
      <c r="OYH73" s="59" t="s">
        <v>44</v>
      </c>
      <c r="OYI73" s="49" t="s">
        <v>44</v>
      </c>
      <c r="OYJ73" s="51">
        <v>45117</v>
      </c>
      <c r="OYK73" s="49"/>
      <c r="OYL73" s="49" t="s">
        <v>43</v>
      </c>
      <c r="OYM73" s="49" t="s">
        <v>45</v>
      </c>
      <c r="OYN73" s="49" t="s">
        <v>42</v>
      </c>
      <c r="OYO73" s="49" t="s">
        <v>0</v>
      </c>
      <c r="OYP73" s="49">
        <v>0</v>
      </c>
      <c r="OYQ73" s="49">
        <v>1</v>
      </c>
      <c r="OYR73" s="58">
        <v>2.5</v>
      </c>
      <c r="OYS73" s="58">
        <v>5</v>
      </c>
      <c r="OYT73" s="58">
        <v>4</v>
      </c>
      <c r="OYU73" s="49">
        <f>INDEX($T$2:$T$11,MATCH(OYQ73,$R$2:$R$11,0))</f>
        <v>0.37</v>
      </c>
      <c r="OYV73" s="49">
        <f t="shared" si="336"/>
        <v>50</v>
      </c>
      <c r="OYW73" s="57">
        <f t="shared" si="337"/>
        <v>18.5</v>
      </c>
      <c r="OYX73" s="59" t="s">
        <v>44</v>
      </c>
      <c r="OYY73" s="49" t="s">
        <v>44</v>
      </c>
      <c r="OYZ73" s="51">
        <v>45117</v>
      </c>
      <c r="OZA73" s="49"/>
      <c r="OZB73" s="49" t="s">
        <v>43</v>
      </c>
      <c r="OZC73" s="49" t="s">
        <v>45</v>
      </c>
      <c r="OZD73" s="49" t="s">
        <v>42</v>
      </c>
      <c r="OZE73" s="49" t="s">
        <v>0</v>
      </c>
      <c r="OZF73" s="49">
        <v>0</v>
      </c>
      <c r="OZG73" s="49">
        <v>1</v>
      </c>
      <c r="OZH73" s="58">
        <v>2.5</v>
      </c>
      <c r="OZI73" s="58">
        <v>5</v>
      </c>
      <c r="OZJ73" s="58">
        <v>4</v>
      </c>
      <c r="OZK73" s="49">
        <f>INDEX($T$2:$T$11,MATCH(OZG73,$R$2:$R$11,0))</f>
        <v>0.37</v>
      </c>
      <c r="OZL73" s="49">
        <f t="shared" ref="OZL73:PBH73" si="338">OZH73*OZI73*OZJ73</f>
        <v>50</v>
      </c>
      <c r="OZM73" s="57">
        <f t="shared" ref="OZM73:PBI73" si="339">OZK73*OZL73</f>
        <v>18.5</v>
      </c>
      <c r="OZN73" s="59" t="s">
        <v>44</v>
      </c>
      <c r="OZO73" s="49" t="s">
        <v>44</v>
      </c>
      <c r="OZP73" s="51">
        <v>45117</v>
      </c>
      <c r="OZQ73" s="49"/>
      <c r="OZR73" s="49" t="s">
        <v>43</v>
      </c>
      <c r="OZS73" s="49" t="s">
        <v>45</v>
      </c>
      <c r="OZT73" s="49" t="s">
        <v>42</v>
      </c>
      <c r="OZU73" s="49" t="s">
        <v>0</v>
      </c>
      <c r="OZV73" s="49">
        <v>0</v>
      </c>
      <c r="OZW73" s="49">
        <v>1</v>
      </c>
      <c r="OZX73" s="58">
        <v>2.5</v>
      </c>
      <c r="OZY73" s="58">
        <v>5</v>
      </c>
      <c r="OZZ73" s="58">
        <v>4</v>
      </c>
      <c r="PAA73" s="49">
        <f>INDEX($T$2:$T$11,MATCH(OZW73,$R$2:$R$11,0))</f>
        <v>0.37</v>
      </c>
      <c r="PAB73" s="49">
        <f t="shared" si="338"/>
        <v>50</v>
      </c>
      <c r="PAC73" s="57">
        <f t="shared" si="339"/>
        <v>18.5</v>
      </c>
      <c r="PAD73" s="59" t="s">
        <v>44</v>
      </c>
      <c r="PAE73" s="49" t="s">
        <v>44</v>
      </c>
      <c r="PAF73" s="51">
        <v>45117</v>
      </c>
      <c r="PAG73" s="49"/>
      <c r="PAH73" s="49" t="s">
        <v>43</v>
      </c>
      <c r="PAI73" s="49" t="s">
        <v>45</v>
      </c>
      <c r="PAJ73" s="49" t="s">
        <v>42</v>
      </c>
      <c r="PAK73" s="49" t="s">
        <v>0</v>
      </c>
      <c r="PAL73" s="49">
        <v>0</v>
      </c>
      <c r="PAM73" s="49">
        <v>1</v>
      </c>
      <c r="PAN73" s="58">
        <v>2.5</v>
      </c>
      <c r="PAO73" s="58">
        <v>5</v>
      </c>
      <c r="PAP73" s="58">
        <v>4</v>
      </c>
      <c r="PAQ73" s="49">
        <f>INDEX($T$2:$T$11,MATCH(PAM73,$R$2:$R$11,0))</f>
        <v>0.37</v>
      </c>
      <c r="PAR73" s="49">
        <f t="shared" si="338"/>
        <v>50</v>
      </c>
      <c r="PAS73" s="57">
        <f t="shared" si="339"/>
        <v>18.5</v>
      </c>
      <c r="PAT73" s="59" t="s">
        <v>44</v>
      </c>
      <c r="PAU73" s="49" t="s">
        <v>44</v>
      </c>
      <c r="PAV73" s="51">
        <v>45117</v>
      </c>
      <c r="PAW73" s="49"/>
      <c r="PAX73" s="49" t="s">
        <v>43</v>
      </c>
      <c r="PAY73" s="49" t="s">
        <v>45</v>
      </c>
      <c r="PAZ73" s="49" t="s">
        <v>42</v>
      </c>
      <c r="PBA73" s="49" t="s">
        <v>0</v>
      </c>
      <c r="PBB73" s="49">
        <v>0</v>
      </c>
      <c r="PBC73" s="49">
        <v>1</v>
      </c>
      <c r="PBD73" s="58">
        <v>2.5</v>
      </c>
      <c r="PBE73" s="58">
        <v>5</v>
      </c>
      <c r="PBF73" s="58">
        <v>4</v>
      </c>
      <c r="PBG73" s="49">
        <f>INDEX($T$2:$T$11,MATCH(PBC73,$R$2:$R$11,0))</f>
        <v>0.37</v>
      </c>
      <c r="PBH73" s="49">
        <f t="shared" si="338"/>
        <v>50</v>
      </c>
      <c r="PBI73" s="57">
        <f t="shared" si="339"/>
        <v>18.5</v>
      </c>
      <c r="PBJ73" s="59" t="s">
        <v>44</v>
      </c>
      <c r="PBK73" s="49" t="s">
        <v>44</v>
      </c>
      <c r="PBL73" s="51">
        <v>45117</v>
      </c>
      <c r="PBM73" s="49"/>
      <c r="PBN73" s="49" t="s">
        <v>43</v>
      </c>
      <c r="PBO73" s="49" t="s">
        <v>45</v>
      </c>
      <c r="PBP73" s="49" t="s">
        <v>42</v>
      </c>
      <c r="PBQ73" s="49" t="s">
        <v>0</v>
      </c>
      <c r="PBR73" s="49">
        <v>0</v>
      </c>
      <c r="PBS73" s="49">
        <v>1</v>
      </c>
      <c r="PBT73" s="58">
        <v>2.5</v>
      </c>
      <c r="PBU73" s="58">
        <v>5</v>
      </c>
      <c r="PBV73" s="58">
        <v>4</v>
      </c>
      <c r="PBW73" s="49">
        <f>INDEX($T$2:$T$11,MATCH(PBS73,$R$2:$R$11,0))</f>
        <v>0.37</v>
      </c>
      <c r="PBX73" s="49">
        <f t="shared" ref="PBX73:PDT73" si="340">PBT73*PBU73*PBV73</f>
        <v>50</v>
      </c>
      <c r="PBY73" s="57">
        <f t="shared" ref="PBY73:PDU73" si="341">PBW73*PBX73</f>
        <v>18.5</v>
      </c>
      <c r="PBZ73" s="59" t="s">
        <v>44</v>
      </c>
      <c r="PCA73" s="49" t="s">
        <v>44</v>
      </c>
      <c r="PCB73" s="51">
        <v>45117</v>
      </c>
      <c r="PCC73" s="49"/>
      <c r="PCD73" s="49" t="s">
        <v>43</v>
      </c>
      <c r="PCE73" s="49" t="s">
        <v>45</v>
      </c>
      <c r="PCF73" s="49" t="s">
        <v>42</v>
      </c>
      <c r="PCG73" s="49" t="s">
        <v>0</v>
      </c>
      <c r="PCH73" s="49">
        <v>0</v>
      </c>
      <c r="PCI73" s="49">
        <v>1</v>
      </c>
      <c r="PCJ73" s="58">
        <v>2.5</v>
      </c>
      <c r="PCK73" s="58">
        <v>5</v>
      </c>
      <c r="PCL73" s="58">
        <v>4</v>
      </c>
      <c r="PCM73" s="49">
        <f>INDEX($T$2:$T$11,MATCH(PCI73,$R$2:$R$11,0))</f>
        <v>0.37</v>
      </c>
      <c r="PCN73" s="49">
        <f t="shared" si="340"/>
        <v>50</v>
      </c>
      <c r="PCO73" s="57">
        <f t="shared" si="341"/>
        <v>18.5</v>
      </c>
      <c r="PCP73" s="59" t="s">
        <v>44</v>
      </c>
      <c r="PCQ73" s="49" t="s">
        <v>44</v>
      </c>
      <c r="PCR73" s="51">
        <v>45117</v>
      </c>
      <c r="PCS73" s="49"/>
      <c r="PCT73" s="49" t="s">
        <v>43</v>
      </c>
      <c r="PCU73" s="49" t="s">
        <v>45</v>
      </c>
      <c r="PCV73" s="49" t="s">
        <v>42</v>
      </c>
      <c r="PCW73" s="49" t="s">
        <v>0</v>
      </c>
      <c r="PCX73" s="49">
        <v>0</v>
      </c>
      <c r="PCY73" s="49">
        <v>1</v>
      </c>
      <c r="PCZ73" s="58">
        <v>2.5</v>
      </c>
      <c r="PDA73" s="58">
        <v>5</v>
      </c>
      <c r="PDB73" s="58">
        <v>4</v>
      </c>
      <c r="PDC73" s="49">
        <f>INDEX($T$2:$T$11,MATCH(PCY73,$R$2:$R$11,0))</f>
        <v>0.37</v>
      </c>
      <c r="PDD73" s="49">
        <f t="shared" si="340"/>
        <v>50</v>
      </c>
      <c r="PDE73" s="57">
        <f t="shared" si="341"/>
        <v>18.5</v>
      </c>
      <c r="PDF73" s="59" t="s">
        <v>44</v>
      </c>
      <c r="PDG73" s="49" t="s">
        <v>44</v>
      </c>
      <c r="PDH73" s="51">
        <v>45117</v>
      </c>
      <c r="PDI73" s="49"/>
      <c r="PDJ73" s="49" t="s">
        <v>43</v>
      </c>
      <c r="PDK73" s="49" t="s">
        <v>45</v>
      </c>
      <c r="PDL73" s="49" t="s">
        <v>42</v>
      </c>
      <c r="PDM73" s="49" t="s">
        <v>0</v>
      </c>
      <c r="PDN73" s="49">
        <v>0</v>
      </c>
      <c r="PDO73" s="49">
        <v>1</v>
      </c>
      <c r="PDP73" s="58">
        <v>2.5</v>
      </c>
      <c r="PDQ73" s="58">
        <v>5</v>
      </c>
      <c r="PDR73" s="58">
        <v>4</v>
      </c>
      <c r="PDS73" s="49">
        <f>INDEX($T$2:$T$11,MATCH(PDO73,$R$2:$R$11,0))</f>
        <v>0.37</v>
      </c>
      <c r="PDT73" s="49">
        <f t="shared" si="340"/>
        <v>50</v>
      </c>
      <c r="PDU73" s="57">
        <f t="shared" si="341"/>
        <v>18.5</v>
      </c>
      <c r="PDV73" s="59" t="s">
        <v>44</v>
      </c>
      <c r="PDW73" s="49" t="s">
        <v>44</v>
      </c>
      <c r="PDX73" s="51">
        <v>45117</v>
      </c>
      <c r="PDY73" s="49"/>
      <c r="PDZ73" s="49" t="s">
        <v>43</v>
      </c>
      <c r="PEA73" s="49" t="s">
        <v>45</v>
      </c>
      <c r="PEB73" s="49" t="s">
        <v>42</v>
      </c>
      <c r="PEC73" s="49" t="s">
        <v>0</v>
      </c>
      <c r="PED73" s="49">
        <v>0</v>
      </c>
      <c r="PEE73" s="49">
        <v>1</v>
      </c>
      <c r="PEF73" s="58">
        <v>2.5</v>
      </c>
      <c r="PEG73" s="58">
        <v>5</v>
      </c>
      <c r="PEH73" s="58">
        <v>4</v>
      </c>
      <c r="PEI73" s="49">
        <f>INDEX($T$2:$T$11,MATCH(PEE73,$R$2:$R$11,0))</f>
        <v>0.37</v>
      </c>
      <c r="PEJ73" s="49">
        <f t="shared" ref="PEJ73:PGF73" si="342">PEF73*PEG73*PEH73</f>
        <v>50</v>
      </c>
      <c r="PEK73" s="57">
        <f t="shared" ref="PEK73:PGG73" si="343">PEI73*PEJ73</f>
        <v>18.5</v>
      </c>
      <c r="PEL73" s="59" t="s">
        <v>44</v>
      </c>
      <c r="PEM73" s="49" t="s">
        <v>44</v>
      </c>
      <c r="PEN73" s="51">
        <v>45117</v>
      </c>
      <c r="PEO73" s="49"/>
      <c r="PEP73" s="49" t="s">
        <v>43</v>
      </c>
      <c r="PEQ73" s="49" t="s">
        <v>45</v>
      </c>
      <c r="PER73" s="49" t="s">
        <v>42</v>
      </c>
      <c r="PES73" s="49" t="s">
        <v>0</v>
      </c>
      <c r="PET73" s="49">
        <v>0</v>
      </c>
      <c r="PEU73" s="49">
        <v>1</v>
      </c>
      <c r="PEV73" s="58">
        <v>2.5</v>
      </c>
      <c r="PEW73" s="58">
        <v>5</v>
      </c>
      <c r="PEX73" s="58">
        <v>4</v>
      </c>
      <c r="PEY73" s="49">
        <f>INDEX($T$2:$T$11,MATCH(PEU73,$R$2:$R$11,0))</f>
        <v>0.37</v>
      </c>
      <c r="PEZ73" s="49">
        <f t="shared" si="342"/>
        <v>50</v>
      </c>
      <c r="PFA73" s="57">
        <f t="shared" si="343"/>
        <v>18.5</v>
      </c>
      <c r="PFB73" s="59" t="s">
        <v>44</v>
      </c>
      <c r="PFC73" s="49" t="s">
        <v>44</v>
      </c>
      <c r="PFD73" s="51">
        <v>45117</v>
      </c>
      <c r="PFE73" s="49"/>
      <c r="PFF73" s="49" t="s">
        <v>43</v>
      </c>
      <c r="PFG73" s="49" t="s">
        <v>45</v>
      </c>
      <c r="PFH73" s="49" t="s">
        <v>42</v>
      </c>
      <c r="PFI73" s="49" t="s">
        <v>0</v>
      </c>
      <c r="PFJ73" s="49">
        <v>0</v>
      </c>
      <c r="PFK73" s="49">
        <v>1</v>
      </c>
      <c r="PFL73" s="58">
        <v>2.5</v>
      </c>
      <c r="PFM73" s="58">
        <v>5</v>
      </c>
      <c r="PFN73" s="58">
        <v>4</v>
      </c>
      <c r="PFO73" s="49">
        <f>INDEX($T$2:$T$11,MATCH(PFK73,$R$2:$R$11,0))</f>
        <v>0.37</v>
      </c>
      <c r="PFP73" s="49">
        <f t="shared" si="342"/>
        <v>50</v>
      </c>
      <c r="PFQ73" s="57">
        <f t="shared" si="343"/>
        <v>18.5</v>
      </c>
      <c r="PFR73" s="59" t="s">
        <v>44</v>
      </c>
      <c r="PFS73" s="49" t="s">
        <v>44</v>
      </c>
      <c r="PFT73" s="51">
        <v>45117</v>
      </c>
      <c r="PFU73" s="49"/>
      <c r="PFV73" s="49" t="s">
        <v>43</v>
      </c>
      <c r="PFW73" s="49" t="s">
        <v>45</v>
      </c>
      <c r="PFX73" s="49" t="s">
        <v>42</v>
      </c>
      <c r="PFY73" s="49" t="s">
        <v>0</v>
      </c>
      <c r="PFZ73" s="49">
        <v>0</v>
      </c>
      <c r="PGA73" s="49">
        <v>1</v>
      </c>
      <c r="PGB73" s="58">
        <v>2.5</v>
      </c>
      <c r="PGC73" s="58">
        <v>5</v>
      </c>
      <c r="PGD73" s="58">
        <v>4</v>
      </c>
      <c r="PGE73" s="49">
        <f>INDEX($T$2:$T$11,MATCH(PGA73,$R$2:$R$11,0))</f>
        <v>0.37</v>
      </c>
      <c r="PGF73" s="49">
        <f t="shared" si="342"/>
        <v>50</v>
      </c>
      <c r="PGG73" s="57">
        <f t="shared" si="343"/>
        <v>18.5</v>
      </c>
      <c r="PGH73" s="59" t="s">
        <v>44</v>
      </c>
      <c r="PGI73" s="49" t="s">
        <v>44</v>
      </c>
      <c r="PGJ73" s="51">
        <v>45117</v>
      </c>
      <c r="PGK73" s="49"/>
      <c r="PGL73" s="49" t="s">
        <v>43</v>
      </c>
      <c r="PGM73" s="49" t="s">
        <v>45</v>
      </c>
      <c r="PGN73" s="49" t="s">
        <v>42</v>
      </c>
      <c r="PGO73" s="49" t="s">
        <v>0</v>
      </c>
      <c r="PGP73" s="49">
        <v>0</v>
      </c>
      <c r="PGQ73" s="49">
        <v>1</v>
      </c>
      <c r="PGR73" s="58">
        <v>2.5</v>
      </c>
      <c r="PGS73" s="58">
        <v>5</v>
      </c>
      <c r="PGT73" s="58">
        <v>4</v>
      </c>
      <c r="PGU73" s="49">
        <f>INDEX($T$2:$T$11,MATCH(PGQ73,$R$2:$R$11,0))</f>
        <v>0.37</v>
      </c>
      <c r="PGV73" s="49">
        <f t="shared" ref="PGV73:PIR73" si="344">PGR73*PGS73*PGT73</f>
        <v>50</v>
      </c>
      <c r="PGW73" s="57">
        <f t="shared" ref="PGW73:PIS73" si="345">PGU73*PGV73</f>
        <v>18.5</v>
      </c>
      <c r="PGX73" s="59" t="s">
        <v>44</v>
      </c>
      <c r="PGY73" s="49" t="s">
        <v>44</v>
      </c>
      <c r="PGZ73" s="51">
        <v>45117</v>
      </c>
      <c r="PHA73" s="49"/>
      <c r="PHB73" s="49" t="s">
        <v>43</v>
      </c>
      <c r="PHC73" s="49" t="s">
        <v>45</v>
      </c>
      <c r="PHD73" s="49" t="s">
        <v>42</v>
      </c>
      <c r="PHE73" s="49" t="s">
        <v>0</v>
      </c>
      <c r="PHF73" s="49">
        <v>0</v>
      </c>
      <c r="PHG73" s="49">
        <v>1</v>
      </c>
      <c r="PHH73" s="58">
        <v>2.5</v>
      </c>
      <c r="PHI73" s="58">
        <v>5</v>
      </c>
      <c r="PHJ73" s="58">
        <v>4</v>
      </c>
      <c r="PHK73" s="49">
        <f>INDEX($T$2:$T$11,MATCH(PHG73,$R$2:$R$11,0))</f>
        <v>0.37</v>
      </c>
      <c r="PHL73" s="49">
        <f t="shared" si="344"/>
        <v>50</v>
      </c>
      <c r="PHM73" s="57">
        <f t="shared" si="345"/>
        <v>18.5</v>
      </c>
      <c r="PHN73" s="59" t="s">
        <v>44</v>
      </c>
      <c r="PHO73" s="49" t="s">
        <v>44</v>
      </c>
      <c r="PHP73" s="51">
        <v>45117</v>
      </c>
      <c r="PHQ73" s="49"/>
      <c r="PHR73" s="49" t="s">
        <v>43</v>
      </c>
      <c r="PHS73" s="49" t="s">
        <v>45</v>
      </c>
      <c r="PHT73" s="49" t="s">
        <v>42</v>
      </c>
      <c r="PHU73" s="49" t="s">
        <v>0</v>
      </c>
      <c r="PHV73" s="49">
        <v>0</v>
      </c>
      <c r="PHW73" s="49">
        <v>1</v>
      </c>
      <c r="PHX73" s="58">
        <v>2.5</v>
      </c>
      <c r="PHY73" s="58">
        <v>5</v>
      </c>
      <c r="PHZ73" s="58">
        <v>4</v>
      </c>
      <c r="PIA73" s="49">
        <f>INDEX($T$2:$T$11,MATCH(PHW73,$R$2:$R$11,0))</f>
        <v>0.37</v>
      </c>
      <c r="PIB73" s="49">
        <f t="shared" si="344"/>
        <v>50</v>
      </c>
      <c r="PIC73" s="57">
        <f t="shared" si="345"/>
        <v>18.5</v>
      </c>
      <c r="PID73" s="59" t="s">
        <v>44</v>
      </c>
      <c r="PIE73" s="49" t="s">
        <v>44</v>
      </c>
      <c r="PIF73" s="51">
        <v>45117</v>
      </c>
      <c r="PIG73" s="49"/>
      <c r="PIH73" s="49" t="s">
        <v>43</v>
      </c>
      <c r="PII73" s="49" t="s">
        <v>45</v>
      </c>
      <c r="PIJ73" s="49" t="s">
        <v>42</v>
      </c>
      <c r="PIK73" s="49" t="s">
        <v>0</v>
      </c>
      <c r="PIL73" s="49">
        <v>0</v>
      </c>
      <c r="PIM73" s="49">
        <v>1</v>
      </c>
      <c r="PIN73" s="58">
        <v>2.5</v>
      </c>
      <c r="PIO73" s="58">
        <v>5</v>
      </c>
      <c r="PIP73" s="58">
        <v>4</v>
      </c>
      <c r="PIQ73" s="49">
        <f>INDEX($T$2:$T$11,MATCH(PIM73,$R$2:$R$11,0))</f>
        <v>0.37</v>
      </c>
      <c r="PIR73" s="49">
        <f t="shared" si="344"/>
        <v>50</v>
      </c>
      <c r="PIS73" s="57">
        <f t="shared" si="345"/>
        <v>18.5</v>
      </c>
      <c r="PIT73" s="59" t="s">
        <v>44</v>
      </c>
      <c r="PIU73" s="49" t="s">
        <v>44</v>
      </c>
      <c r="PIV73" s="51">
        <v>45117</v>
      </c>
      <c r="PIW73" s="49"/>
      <c r="PIX73" s="49" t="s">
        <v>43</v>
      </c>
      <c r="PIY73" s="49" t="s">
        <v>45</v>
      </c>
      <c r="PIZ73" s="49" t="s">
        <v>42</v>
      </c>
      <c r="PJA73" s="49" t="s">
        <v>0</v>
      </c>
      <c r="PJB73" s="49">
        <v>0</v>
      </c>
      <c r="PJC73" s="49">
        <v>1</v>
      </c>
      <c r="PJD73" s="58">
        <v>2.5</v>
      </c>
      <c r="PJE73" s="58">
        <v>5</v>
      </c>
      <c r="PJF73" s="58">
        <v>4</v>
      </c>
      <c r="PJG73" s="49">
        <f>INDEX($T$2:$T$11,MATCH(PJC73,$R$2:$R$11,0))</f>
        <v>0.37</v>
      </c>
      <c r="PJH73" s="49">
        <f t="shared" ref="PJH73:PLD73" si="346">PJD73*PJE73*PJF73</f>
        <v>50</v>
      </c>
      <c r="PJI73" s="57">
        <f t="shared" ref="PJI73:PLE73" si="347">PJG73*PJH73</f>
        <v>18.5</v>
      </c>
      <c r="PJJ73" s="59" t="s">
        <v>44</v>
      </c>
      <c r="PJK73" s="49" t="s">
        <v>44</v>
      </c>
      <c r="PJL73" s="51">
        <v>45117</v>
      </c>
      <c r="PJM73" s="49"/>
      <c r="PJN73" s="49" t="s">
        <v>43</v>
      </c>
      <c r="PJO73" s="49" t="s">
        <v>45</v>
      </c>
      <c r="PJP73" s="49" t="s">
        <v>42</v>
      </c>
      <c r="PJQ73" s="49" t="s">
        <v>0</v>
      </c>
      <c r="PJR73" s="49">
        <v>0</v>
      </c>
      <c r="PJS73" s="49">
        <v>1</v>
      </c>
      <c r="PJT73" s="58">
        <v>2.5</v>
      </c>
      <c r="PJU73" s="58">
        <v>5</v>
      </c>
      <c r="PJV73" s="58">
        <v>4</v>
      </c>
      <c r="PJW73" s="49">
        <f>INDEX($T$2:$T$11,MATCH(PJS73,$R$2:$R$11,0))</f>
        <v>0.37</v>
      </c>
      <c r="PJX73" s="49">
        <f t="shared" si="346"/>
        <v>50</v>
      </c>
      <c r="PJY73" s="57">
        <f t="shared" si="347"/>
        <v>18.5</v>
      </c>
      <c r="PJZ73" s="59" t="s">
        <v>44</v>
      </c>
      <c r="PKA73" s="49" t="s">
        <v>44</v>
      </c>
      <c r="PKB73" s="51">
        <v>45117</v>
      </c>
      <c r="PKC73" s="49"/>
      <c r="PKD73" s="49" t="s">
        <v>43</v>
      </c>
      <c r="PKE73" s="49" t="s">
        <v>45</v>
      </c>
      <c r="PKF73" s="49" t="s">
        <v>42</v>
      </c>
      <c r="PKG73" s="49" t="s">
        <v>0</v>
      </c>
      <c r="PKH73" s="49">
        <v>0</v>
      </c>
      <c r="PKI73" s="49">
        <v>1</v>
      </c>
      <c r="PKJ73" s="58">
        <v>2.5</v>
      </c>
      <c r="PKK73" s="58">
        <v>5</v>
      </c>
      <c r="PKL73" s="58">
        <v>4</v>
      </c>
      <c r="PKM73" s="49">
        <f>INDEX($T$2:$T$11,MATCH(PKI73,$R$2:$R$11,0))</f>
        <v>0.37</v>
      </c>
      <c r="PKN73" s="49">
        <f t="shared" si="346"/>
        <v>50</v>
      </c>
      <c r="PKO73" s="57">
        <f t="shared" si="347"/>
        <v>18.5</v>
      </c>
      <c r="PKP73" s="59" t="s">
        <v>44</v>
      </c>
      <c r="PKQ73" s="49" t="s">
        <v>44</v>
      </c>
      <c r="PKR73" s="51">
        <v>45117</v>
      </c>
      <c r="PKS73" s="49"/>
      <c r="PKT73" s="49" t="s">
        <v>43</v>
      </c>
      <c r="PKU73" s="49" t="s">
        <v>45</v>
      </c>
      <c r="PKV73" s="49" t="s">
        <v>42</v>
      </c>
      <c r="PKW73" s="49" t="s">
        <v>0</v>
      </c>
      <c r="PKX73" s="49">
        <v>0</v>
      </c>
      <c r="PKY73" s="49">
        <v>1</v>
      </c>
      <c r="PKZ73" s="58">
        <v>2.5</v>
      </c>
      <c r="PLA73" s="58">
        <v>5</v>
      </c>
      <c r="PLB73" s="58">
        <v>4</v>
      </c>
      <c r="PLC73" s="49">
        <f>INDEX($T$2:$T$11,MATCH(PKY73,$R$2:$R$11,0))</f>
        <v>0.37</v>
      </c>
      <c r="PLD73" s="49">
        <f t="shared" si="346"/>
        <v>50</v>
      </c>
      <c r="PLE73" s="57">
        <f t="shared" si="347"/>
        <v>18.5</v>
      </c>
      <c r="PLF73" s="59" t="s">
        <v>44</v>
      </c>
      <c r="PLG73" s="49" t="s">
        <v>44</v>
      </c>
      <c r="PLH73" s="51">
        <v>45117</v>
      </c>
      <c r="PLI73" s="49"/>
      <c r="PLJ73" s="49" t="s">
        <v>43</v>
      </c>
      <c r="PLK73" s="49" t="s">
        <v>45</v>
      </c>
      <c r="PLL73" s="49" t="s">
        <v>42</v>
      </c>
      <c r="PLM73" s="49" t="s">
        <v>0</v>
      </c>
      <c r="PLN73" s="49">
        <v>0</v>
      </c>
      <c r="PLO73" s="49">
        <v>1</v>
      </c>
      <c r="PLP73" s="58">
        <v>2.5</v>
      </c>
      <c r="PLQ73" s="58">
        <v>5</v>
      </c>
      <c r="PLR73" s="58">
        <v>4</v>
      </c>
      <c r="PLS73" s="49">
        <f>INDEX($T$2:$T$11,MATCH(PLO73,$R$2:$R$11,0))</f>
        <v>0.37</v>
      </c>
      <c r="PLT73" s="49">
        <f t="shared" ref="PLT73:PNP73" si="348">PLP73*PLQ73*PLR73</f>
        <v>50</v>
      </c>
      <c r="PLU73" s="57">
        <f t="shared" ref="PLU73:PNQ73" si="349">PLS73*PLT73</f>
        <v>18.5</v>
      </c>
      <c r="PLV73" s="59" t="s">
        <v>44</v>
      </c>
      <c r="PLW73" s="49" t="s">
        <v>44</v>
      </c>
      <c r="PLX73" s="51">
        <v>45117</v>
      </c>
      <c r="PLY73" s="49"/>
      <c r="PLZ73" s="49" t="s">
        <v>43</v>
      </c>
      <c r="PMA73" s="49" t="s">
        <v>45</v>
      </c>
      <c r="PMB73" s="49" t="s">
        <v>42</v>
      </c>
      <c r="PMC73" s="49" t="s">
        <v>0</v>
      </c>
      <c r="PMD73" s="49">
        <v>0</v>
      </c>
      <c r="PME73" s="49">
        <v>1</v>
      </c>
      <c r="PMF73" s="58">
        <v>2.5</v>
      </c>
      <c r="PMG73" s="58">
        <v>5</v>
      </c>
      <c r="PMH73" s="58">
        <v>4</v>
      </c>
      <c r="PMI73" s="49">
        <f>INDEX($T$2:$T$11,MATCH(PME73,$R$2:$R$11,0))</f>
        <v>0.37</v>
      </c>
      <c r="PMJ73" s="49">
        <f t="shared" si="348"/>
        <v>50</v>
      </c>
      <c r="PMK73" s="57">
        <f t="shared" si="349"/>
        <v>18.5</v>
      </c>
      <c r="PML73" s="59" t="s">
        <v>44</v>
      </c>
      <c r="PMM73" s="49" t="s">
        <v>44</v>
      </c>
      <c r="PMN73" s="51">
        <v>45117</v>
      </c>
      <c r="PMO73" s="49"/>
      <c r="PMP73" s="49" t="s">
        <v>43</v>
      </c>
      <c r="PMQ73" s="49" t="s">
        <v>45</v>
      </c>
      <c r="PMR73" s="49" t="s">
        <v>42</v>
      </c>
      <c r="PMS73" s="49" t="s">
        <v>0</v>
      </c>
      <c r="PMT73" s="49">
        <v>0</v>
      </c>
      <c r="PMU73" s="49">
        <v>1</v>
      </c>
      <c r="PMV73" s="58">
        <v>2.5</v>
      </c>
      <c r="PMW73" s="58">
        <v>5</v>
      </c>
      <c r="PMX73" s="58">
        <v>4</v>
      </c>
      <c r="PMY73" s="49">
        <f>INDEX($T$2:$T$11,MATCH(PMU73,$R$2:$R$11,0))</f>
        <v>0.37</v>
      </c>
      <c r="PMZ73" s="49">
        <f t="shared" si="348"/>
        <v>50</v>
      </c>
      <c r="PNA73" s="57">
        <f t="shared" si="349"/>
        <v>18.5</v>
      </c>
      <c r="PNB73" s="59" t="s">
        <v>44</v>
      </c>
      <c r="PNC73" s="49" t="s">
        <v>44</v>
      </c>
      <c r="PND73" s="51">
        <v>45117</v>
      </c>
      <c r="PNE73" s="49"/>
      <c r="PNF73" s="49" t="s">
        <v>43</v>
      </c>
      <c r="PNG73" s="49" t="s">
        <v>45</v>
      </c>
      <c r="PNH73" s="49" t="s">
        <v>42</v>
      </c>
      <c r="PNI73" s="49" t="s">
        <v>0</v>
      </c>
      <c r="PNJ73" s="49">
        <v>0</v>
      </c>
      <c r="PNK73" s="49">
        <v>1</v>
      </c>
      <c r="PNL73" s="58">
        <v>2.5</v>
      </c>
      <c r="PNM73" s="58">
        <v>5</v>
      </c>
      <c r="PNN73" s="58">
        <v>4</v>
      </c>
      <c r="PNO73" s="49">
        <f>INDEX($T$2:$T$11,MATCH(PNK73,$R$2:$R$11,0))</f>
        <v>0.37</v>
      </c>
      <c r="PNP73" s="49">
        <f t="shared" si="348"/>
        <v>50</v>
      </c>
      <c r="PNQ73" s="57">
        <f t="shared" si="349"/>
        <v>18.5</v>
      </c>
      <c r="PNR73" s="59" t="s">
        <v>44</v>
      </c>
      <c r="PNS73" s="49" t="s">
        <v>44</v>
      </c>
      <c r="PNT73" s="51">
        <v>45117</v>
      </c>
      <c r="PNU73" s="49"/>
      <c r="PNV73" s="49" t="s">
        <v>43</v>
      </c>
      <c r="PNW73" s="49" t="s">
        <v>45</v>
      </c>
      <c r="PNX73" s="49" t="s">
        <v>42</v>
      </c>
      <c r="PNY73" s="49" t="s">
        <v>0</v>
      </c>
      <c r="PNZ73" s="49">
        <v>0</v>
      </c>
      <c r="POA73" s="49">
        <v>1</v>
      </c>
      <c r="POB73" s="58">
        <v>2.5</v>
      </c>
      <c r="POC73" s="58">
        <v>5</v>
      </c>
      <c r="POD73" s="58">
        <v>4</v>
      </c>
      <c r="POE73" s="49">
        <f>INDEX($T$2:$T$11,MATCH(POA73,$R$2:$R$11,0))</f>
        <v>0.37</v>
      </c>
      <c r="POF73" s="49">
        <f t="shared" ref="POF73:PQB73" si="350">POB73*POC73*POD73</f>
        <v>50</v>
      </c>
      <c r="POG73" s="57">
        <f t="shared" ref="POG73:PQC73" si="351">POE73*POF73</f>
        <v>18.5</v>
      </c>
      <c r="POH73" s="59" t="s">
        <v>44</v>
      </c>
      <c r="POI73" s="49" t="s">
        <v>44</v>
      </c>
      <c r="POJ73" s="51">
        <v>45117</v>
      </c>
      <c r="POK73" s="49"/>
      <c r="POL73" s="49" t="s">
        <v>43</v>
      </c>
      <c r="POM73" s="49" t="s">
        <v>45</v>
      </c>
      <c r="PON73" s="49" t="s">
        <v>42</v>
      </c>
      <c r="POO73" s="49" t="s">
        <v>0</v>
      </c>
      <c r="POP73" s="49">
        <v>0</v>
      </c>
      <c r="POQ73" s="49">
        <v>1</v>
      </c>
      <c r="POR73" s="58">
        <v>2.5</v>
      </c>
      <c r="POS73" s="58">
        <v>5</v>
      </c>
      <c r="POT73" s="58">
        <v>4</v>
      </c>
      <c r="POU73" s="49">
        <f>INDEX($T$2:$T$11,MATCH(POQ73,$R$2:$R$11,0))</f>
        <v>0.37</v>
      </c>
      <c r="POV73" s="49">
        <f t="shared" si="350"/>
        <v>50</v>
      </c>
      <c r="POW73" s="57">
        <f t="shared" si="351"/>
        <v>18.5</v>
      </c>
      <c r="POX73" s="59" t="s">
        <v>44</v>
      </c>
      <c r="POY73" s="49" t="s">
        <v>44</v>
      </c>
      <c r="POZ73" s="51">
        <v>45117</v>
      </c>
      <c r="PPA73" s="49"/>
      <c r="PPB73" s="49" t="s">
        <v>43</v>
      </c>
      <c r="PPC73" s="49" t="s">
        <v>45</v>
      </c>
      <c r="PPD73" s="49" t="s">
        <v>42</v>
      </c>
      <c r="PPE73" s="49" t="s">
        <v>0</v>
      </c>
      <c r="PPF73" s="49">
        <v>0</v>
      </c>
      <c r="PPG73" s="49">
        <v>1</v>
      </c>
      <c r="PPH73" s="58">
        <v>2.5</v>
      </c>
      <c r="PPI73" s="58">
        <v>5</v>
      </c>
      <c r="PPJ73" s="58">
        <v>4</v>
      </c>
      <c r="PPK73" s="49">
        <f>INDEX($T$2:$T$11,MATCH(PPG73,$R$2:$R$11,0))</f>
        <v>0.37</v>
      </c>
      <c r="PPL73" s="49">
        <f t="shared" si="350"/>
        <v>50</v>
      </c>
      <c r="PPM73" s="57">
        <f t="shared" si="351"/>
        <v>18.5</v>
      </c>
      <c r="PPN73" s="59" t="s">
        <v>44</v>
      </c>
      <c r="PPO73" s="49" t="s">
        <v>44</v>
      </c>
      <c r="PPP73" s="51">
        <v>45117</v>
      </c>
      <c r="PPQ73" s="49"/>
      <c r="PPR73" s="49" t="s">
        <v>43</v>
      </c>
      <c r="PPS73" s="49" t="s">
        <v>45</v>
      </c>
      <c r="PPT73" s="49" t="s">
        <v>42</v>
      </c>
      <c r="PPU73" s="49" t="s">
        <v>0</v>
      </c>
      <c r="PPV73" s="49">
        <v>0</v>
      </c>
      <c r="PPW73" s="49">
        <v>1</v>
      </c>
      <c r="PPX73" s="58">
        <v>2.5</v>
      </c>
      <c r="PPY73" s="58">
        <v>5</v>
      </c>
      <c r="PPZ73" s="58">
        <v>4</v>
      </c>
      <c r="PQA73" s="49">
        <f>INDEX($T$2:$T$11,MATCH(PPW73,$R$2:$R$11,0))</f>
        <v>0.37</v>
      </c>
      <c r="PQB73" s="49">
        <f t="shared" si="350"/>
        <v>50</v>
      </c>
      <c r="PQC73" s="57">
        <f t="shared" si="351"/>
        <v>18.5</v>
      </c>
      <c r="PQD73" s="59" t="s">
        <v>44</v>
      </c>
      <c r="PQE73" s="49" t="s">
        <v>44</v>
      </c>
      <c r="PQF73" s="51">
        <v>45117</v>
      </c>
      <c r="PQG73" s="49"/>
      <c r="PQH73" s="49" t="s">
        <v>43</v>
      </c>
      <c r="PQI73" s="49" t="s">
        <v>45</v>
      </c>
      <c r="PQJ73" s="49" t="s">
        <v>42</v>
      </c>
      <c r="PQK73" s="49" t="s">
        <v>0</v>
      </c>
      <c r="PQL73" s="49">
        <v>0</v>
      </c>
      <c r="PQM73" s="49">
        <v>1</v>
      </c>
      <c r="PQN73" s="58">
        <v>2.5</v>
      </c>
      <c r="PQO73" s="58">
        <v>5</v>
      </c>
      <c r="PQP73" s="58">
        <v>4</v>
      </c>
      <c r="PQQ73" s="49">
        <f>INDEX($T$2:$T$11,MATCH(PQM73,$R$2:$R$11,0))</f>
        <v>0.37</v>
      </c>
      <c r="PQR73" s="49">
        <f t="shared" ref="PQR73:PSN73" si="352">PQN73*PQO73*PQP73</f>
        <v>50</v>
      </c>
      <c r="PQS73" s="57">
        <f t="shared" ref="PQS73:PSO73" si="353">PQQ73*PQR73</f>
        <v>18.5</v>
      </c>
      <c r="PQT73" s="59" t="s">
        <v>44</v>
      </c>
      <c r="PQU73" s="49" t="s">
        <v>44</v>
      </c>
      <c r="PQV73" s="51">
        <v>45117</v>
      </c>
      <c r="PQW73" s="49"/>
      <c r="PQX73" s="49" t="s">
        <v>43</v>
      </c>
      <c r="PQY73" s="49" t="s">
        <v>45</v>
      </c>
      <c r="PQZ73" s="49" t="s">
        <v>42</v>
      </c>
      <c r="PRA73" s="49" t="s">
        <v>0</v>
      </c>
      <c r="PRB73" s="49">
        <v>0</v>
      </c>
      <c r="PRC73" s="49">
        <v>1</v>
      </c>
      <c r="PRD73" s="58">
        <v>2.5</v>
      </c>
      <c r="PRE73" s="58">
        <v>5</v>
      </c>
      <c r="PRF73" s="58">
        <v>4</v>
      </c>
      <c r="PRG73" s="49">
        <f>INDEX($T$2:$T$11,MATCH(PRC73,$R$2:$R$11,0))</f>
        <v>0.37</v>
      </c>
      <c r="PRH73" s="49">
        <f t="shared" si="352"/>
        <v>50</v>
      </c>
      <c r="PRI73" s="57">
        <f t="shared" si="353"/>
        <v>18.5</v>
      </c>
      <c r="PRJ73" s="59" t="s">
        <v>44</v>
      </c>
      <c r="PRK73" s="49" t="s">
        <v>44</v>
      </c>
      <c r="PRL73" s="51">
        <v>45117</v>
      </c>
      <c r="PRM73" s="49"/>
      <c r="PRN73" s="49" t="s">
        <v>43</v>
      </c>
      <c r="PRO73" s="49" t="s">
        <v>45</v>
      </c>
      <c r="PRP73" s="49" t="s">
        <v>42</v>
      </c>
      <c r="PRQ73" s="49" t="s">
        <v>0</v>
      </c>
      <c r="PRR73" s="49">
        <v>0</v>
      </c>
      <c r="PRS73" s="49">
        <v>1</v>
      </c>
      <c r="PRT73" s="58">
        <v>2.5</v>
      </c>
      <c r="PRU73" s="58">
        <v>5</v>
      </c>
      <c r="PRV73" s="58">
        <v>4</v>
      </c>
      <c r="PRW73" s="49">
        <f>INDEX($T$2:$T$11,MATCH(PRS73,$R$2:$R$11,0))</f>
        <v>0.37</v>
      </c>
      <c r="PRX73" s="49">
        <f t="shared" si="352"/>
        <v>50</v>
      </c>
      <c r="PRY73" s="57">
        <f t="shared" si="353"/>
        <v>18.5</v>
      </c>
      <c r="PRZ73" s="59" t="s">
        <v>44</v>
      </c>
      <c r="PSA73" s="49" t="s">
        <v>44</v>
      </c>
      <c r="PSB73" s="51">
        <v>45117</v>
      </c>
      <c r="PSC73" s="49"/>
      <c r="PSD73" s="49" t="s">
        <v>43</v>
      </c>
      <c r="PSE73" s="49" t="s">
        <v>45</v>
      </c>
      <c r="PSF73" s="49" t="s">
        <v>42</v>
      </c>
      <c r="PSG73" s="49" t="s">
        <v>0</v>
      </c>
      <c r="PSH73" s="49">
        <v>0</v>
      </c>
      <c r="PSI73" s="49">
        <v>1</v>
      </c>
      <c r="PSJ73" s="58">
        <v>2.5</v>
      </c>
      <c r="PSK73" s="58">
        <v>5</v>
      </c>
      <c r="PSL73" s="58">
        <v>4</v>
      </c>
      <c r="PSM73" s="49">
        <f>INDEX($T$2:$T$11,MATCH(PSI73,$R$2:$R$11,0))</f>
        <v>0.37</v>
      </c>
      <c r="PSN73" s="49">
        <f t="shared" si="352"/>
        <v>50</v>
      </c>
      <c r="PSO73" s="57">
        <f t="shared" si="353"/>
        <v>18.5</v>
      </c>
      <c r="PSP73" s="59" t="s">
        <v>44</v>
      </c>
      <c r="PSQ73" s="49" t="s">
        <v>44</v>
      </c>
      <c r="PSR73" s="51">
        <v>45117</v>
      </c>
      <c r="PSS73" s="49"/>
      <c r="PST73" s="49" t="s">
        <v>43</v>
      </c>
      <c r="PSU73" s="49" t="s">
        <v>45</v>
      </c>
      <c r="PSV73" s="49" t="s">
        <v>42</v>
      </c>
      <c r="PSW73" s="49" t="s">
        <v>0</v>
      </c>
      <c r="PSX73" s="49">
        <v>0</v>
      </c>
      <c r="PSY73" s="49">
        <v>1</v>
      </c>
      <c r="PSZ73" s="58">
        <v>2.5</v>
      </c>
      <c r="PTA73" s="58">
        <v>5</v>
      </c>
      <c r="PTB73" s="58">
        <v>4</v>
      </c>
      <c r="PTC73" s="49">
        <f>INDEX($T$2:$T$11,MATCH(PSY73,$R$2:$R$11,0))</f>
        <v>0.37</v>
      </c>
      <c r="PTD73" s="49">
        <f t="shared" ref="PTD73:PUZ73" si="354">PSZ73*PTA73*PTB73</f>
        <v>50</v>
      </c>
      <c r="PTE73" s="57">
        <f t="shared" ref="PTE73:PVA73" si="355">PTC73*PTD73</f>
        <v>18.5</v>
      </c>
      <c r="PTF73" s="59" t="s">
        <v>44</v>
      </c>
      <c r="PTG73" s="49" t="s">
        <v>44</v>
      </c>
      <c r="PTH73" s="51">
        <v>45117</v>
      </c>
      <c r="PTI73" s="49"/>
      <c r="PTJ73" s="49" t="s">
        <v>43</v>
      </c>
      <c r="PTK73" s="49" t="s">
        <v>45</v>
      </c>
      <c r="PTL73" s="49" t="s">
        <v>42</v>
      </c>
      <c r="PTM73" s="49" t="s">
        <v>0</v>
      </c>
      <c r="PTN73" s="49">
        <v>0</v>
      </c>
      <c r="PTO73" s="49">
        <v>1</v>
      </c>
      <c r="PTP73" s="58">
        <v>2.5</v>
      </c>
      <c r="PTQ73" s="58">
        <v>5</v>
      </c>
      <c r="PTR73" s="58">
        <v>4</v>
      </c>
      <c r="PTS73" s="49">
        <f>INDEX($T$2:$T$11,MATCH(PTO73,$R$2:$R$11,0))</f>
        <v>0.37</v>
      </c>
      <c r="PTT73" s="49">
        <f t="shared" si="354"/>
        <v>50</v>
      </c>
      <c r="PTU73" s="57">
        <f t="shared" si="355"/>
        <v>18.5</v>
      </c>
      <c r="PTV73" s="59" t="s">
        <v>44</v>
      </c>
      <c r="PTW73" s="49" t="s">
        <v>44</v>
      </c>
      <c r="PTX73" s="51">
        <v>45117</v>
      </c>
      <c r="PTY73" s="49"/>
      <c r="PTZ73" s="49" t="s">
        <v>43</v>
      </c>
      <c r="PUA73" s="49" t="s">
        <v>45</v>
      </c>
      <c r="PUB73" s="49" t="s">
        <v>42</v>
      </c>
      <c r="PUC73" s="49" t="s">
        <v>0</v>
      </c>
      <c r="PUD73" s="49">
        <v>0</v>
      </c>
      <c r="PUE73" s="49">
        <v>1</v>
      </c>
      <c r="PUF73" s="58">
        <v>2.5</v>
      </c>
      <c r="PUG73" s="58">
        <v>5</v>
      </c>
      <c r="PUH73" s="58">
        <v>4</v>
      </c>
      <c r="PUI73" s="49">
        <f>INDEX($T$2:$T$11,MATCH(PUE73,$R$2:$R$11,0))</f>
        <v>0.37</v>
      </c>
      <c r="PUJ73" s="49">
        <f t="shared" si="354"/>
        <v>50</v>
      </c>
      <c r="PUK73" s="57">
        <f t="shared" si="355"/>
        <v>18.5</v>
      </c>
      <c r="PUL73" s="59" t="s">
        <v>44</v>
      </c>
      <c r="PUM73" s="49" t="s">
        <v>44</v>
      </c>
      <c r="PUN73" s="51">
        <v>45117</v>
      </c>
      <c r="PUO73" s="49"/>
      <c r="PUP73" s="49" t="s">
        <v>43</v>
      </c>
      <c r="PUQ73" s="49" t="s">
        <v>45</v>
      </c>
      <c r="PUR73" s="49" t="s">
        <v>42</v>
      </c>
      <c r="PUS73" s="49" t="s">
        <v>0</v>
      </c>
      <c r="PUT73" s="49">
        <v>0</v>
      </c>
      <c r="PUU73" s="49">
        <v>1</v>
      </c>
      <c r="PUV73" s="58">
        <v>2.5</v>
      </c>
      <c r="PUW73" s="58">
        <v>5</v>
      </c>
      <c r="PUX73" s="58">
        <v>4</v>
      </c>
      <c r="PUY73" s="49">
        <f>INDEX($T$2:$T$11,MATCH(PUU73,$R$2:$R$11,0))</f>
        <v>0.37</v>
      </c>
      <c r="PUZ73" s="49">
        <f t="shared" si="354"/>
        <v>50</v>
      </c>
      <c r="PVA73" s="57">
        <f t="shared" si="355"/>
        <v>18.5</v>
      </c>
      <c r="PVB73" s="59" t="s">
        <v>44</v>
      </c>
      <c r="PVC73" s="49" t="s">
        <v>44</v>
      </c>
      <c r="PVD73" s="51">
        <v>45117</v>
      </c>
      <c r="PVE73" s="49"/>
      <c r="PVF73" s="49" t="s">
        <v>43</v>
      </c>
      <c r="PVG73" s="49" t="s">
        <v>45</v>
      </c>
      <c r="PVH73" s="49" t="s">
        <v>42</v>
      </c>
      <c r="PVI73" s="49" t="s">
        <v>0</v>
      </c>
      <c r="PVJ73" s="49">
        <v>0</v>
      </c>
      <c r="PVK73" s="49">
        <v>1</v>
      </c>
      <c r="PVL73" s="58">
        <v>2.5</v>
      </c>
      <c r="PVM73" s="58">
        <v>5</v>
      </c>
      <c r="PVN73" s="58">
        <v>4</v>
      </c>
      <c r="PVO73" s="49">
        <f>INDEX($T$2:$T$11,MATCH(PVK73,$R$2:$R$11,0))</f>
        <v>0.37</v>
      </c>
      <c r="PVP73" s="49">
        <f t="shared" ref="PVP73:PXL73" si="356">PVL73*PVM73*PVN73</f>
        <v>50</v>
      </c>
      <c r="PVQ73" s="57">
        <f t="shared" ref="PVQ73:PXM73" si="357">PVO73*PVP73</f>
        <v>18.5</v>
      </c>
      <c r="PVR73" s="59" t="s">
        <v>44</v>
      </c>
      <c r="PVS73" s="49" t="s">
        <v>44</v>
      </c>
      <c r="PVT73" s="51">
        <v>45117</v>
      </c>
      <c r="PVU73" s="49"/>
      <c r="PVV73" s="49" t="s">
        <v>43</v>
      </c>
      <c r="PVW73" s="49" t="s">
        <v>45</v>
      </c>
      <c r="PVX73" s="49" t="s">
        <v>42</v>
      </c>
      <c r="PVY73" s="49" t="s">
        <v>0</v>
      </c>
      <c r="PVZ73" s="49">
        <v>0</v>
      </c>
      <c r="PWA73" s="49">
        <v>1</v>
      </c>
      <c r="PWB73" s="58">
        <v>2.5</v>
      </c>
      <c r="PWC73" s="58">
        <v>5</v>
      </c>
      <c r="PWD73" s="58">
        <v>4</v>
      </c>
      <c r="PWE73" s="49">
        <f>INDEX($T$2:$T$11,MATCH(PWA73,$R$2:$R$11,0))</f>
        <v>0.37</v>
      </c>
      <c r="PWF73" s="49">
        <f t="shared" si="356"/>
        <v>50</v>
      </c>
      <c r="PWG73" s="57">
        <f t="shared" si="357"/>
        <v>18.5</v>
      </c>
      <c r="PWH73" s="59" t="s">
        <v>44</v>
      </c>
      <c r="PWI73" s="49" t="s">
        <v>44</v>
      </c>
      <c r="PWJ73" s="51">
        <v>45117</v>
      </c>
      <c r="PWK73" s="49"/>
      <c r="PWL73" s="49" t="s">
        <v>43</v>
      </c>
      <c r="PWM73" s="49" t="s">
        <v>45</v>
      </c>
      <c r="PWN73" s="49" t="s">
        <v>42</v>
      </c>
      <c r="PWO73" s="49" t="s">
        <v>0</v>
      </c>
      <c r="PWP73" s="49">
        <v>0</v>
      </c>
      <c r="PWQ73" s="49">
        <v>1</v>
      </c>
      <c r="PWR73" s="58">
        <v>2.5</v>
      </c>
      <c r="PWS73" s="58">
        <v>5</v>
      </c>
      <c r="PWT73" s="58">
        <v>4</v>
      </c>
      <c r="PWU73" s="49">
        <f>INDEX($T$2:$T$11,MATCH(PWQ73,$R$2:$R$11,0))</f>
        <v>0.37</v>
      </c>
      <c r="PWV73" s="49">
        <f t="shared" si="356"/>
        <v>50</v>
      </c>
      <c r="PWW73" s="57">
        <f t="shared" si="357"/>
        <v>18.5</v>
      </c>
      <c r="PWX73" s="59" t="s">
        <v>44</v>
      </c>
      <c r="PWY73" s="49" t="s">
        <v>44</v>
      </c>
      <c r="PWZ73" s="51">
        <v>45117</v>
      </c>
      <c r="PXA73" s="49"/>
      <c r="PXB73" s="49" t="s">
        <v>43</v>
      </c>
      <c r="PXC73" s="49" t="s">
        <v>45</v>
      </c>
      <c r="PXD73" s="49" t="s">
        <v>42</v>
      </c>
      <c r="PXE73" s="49" t="s">
        <v>0</v>
      </c>
      <c r="PXF73" s="49">
        <v>0</v>
      </c>
      <c r="PXG73" s="49">
        <v>1</v>
      </c>
      <c r="PXH73" s="58">
        <v>2.5</v>
      </c>
      <c r="PXI73" s="58">
        <v>5</v>
      </c>
      <c r="PXJ73" s="58">
        <v>4</v>
      </c>
      <c r="PXK73" s="49">
        <f>INDEX($T$2:$T$11,MATCH(PXG73,$R$2:$R$11,0))</f>
        <v>0.37</v>
      </c>
      <c r="PXL73" s="49">
        <f t="shared" si="356"/>
        <v>50</v>
      </c>
      <c r="PXM73" s="57">
        <f t="shared" si="357"/>
        <v>18.5</v>
      </c>
      <c r="PXN73" s="59" t="s">
        <v>44</v>
      </c>
      <c r="PXO73" s="49" t="s">
        <v>44</v>
      </c>
      <c r="PXP73" s="51">
        <v>45117</v>
      </c>
      <c r="PXQ73" s="49"/>
      <c r="PXR73" s="49" t="s">
        <v>43</v>
      </c>
      <c r="PXS73" s="49" t="s">
        <v>45</v>
      </c>
      <c r="PXT73" s="49" t="s">
        <v>42</v>
      </c>
      <c r="PXU73" s="49" t="s">
        <v>0</v>
      </c>
      <c r="PXV73" s="49">
        <v>0</v>
      </c>
      <c r="PXW73" s="49">
        <v>1</v>
      </c>
      <c r="PXX73" s="58">
        <v>2.5</v>
      </c>
      <c r="PXY73" s="58">
        <v>5</v>
      </c>
      <c r="PXZ73" s="58">
        <v>4</v>
      </c>
      <c r="PYA73" s="49">
        <f>INDEX($T$2:$T$11,MATCH(PXW73,$R$2:$R$11,0))</f>
        <v>0.37</v>
      </c>
      <c r="PYB73" s="49">
        <f t="shared" ref="PYB73:PZX73" si="358">PXX73*PXY73*PXZ73</f>
        <v>50</v>
      </c>
      <c r="PYC73" s="57">
        <f t="shared" ref="PYC73:PZY73" si="359">PYA73*PYB73</f>
        <v>18.5</v>
      </c>
      <c r="PYD73" s="59" t="s">
        <v>44</v>
      </c>
      <c r="PYE73" s="49" t="s">
        <v>44</v>
      </c>
      <c r="PYF73" s="51">
        <v>45117</v>
      </c>
      <c r="PYG73" s="49"/>
      <c r="PYH73" s="49" t="s">
        <v>43</v>
      </c>
      <c r="PYI73" s="49" t="s">
        <v>45</v>
      </c>
      <c r="PYJ73" s="49" t="s">
        <v>42</v>
      </c>
      <c r="PYK73" s="49" t="s">
        <v>0</v>
      </c>
      <c r="PYL73" s="49">
        <v>0</v>
      </c>
      <c r="PYM73" s="49">
        <v>1</v>
      </c>
      <c r="PYN73" s="58">
        <v>2.5</v>
      </c>
      <c r="PYO73" s="58">
        <v>5</v>
      </c>
      <c r="PYP73" s="58">
        <v>4</v>
      </c>
      <c r="PYQ73" s="49">
        <f>INDEX($T$2:$T$11,MATCH(PYM73,$R$2:$R$11,0))</f>
        <v>0.37</v>
      </c>
      <c r="PYR73" s="49">
        <f t="shared" si="358"/>
        <v>50</v>
      </c>
      <c r="PYS73" s="57">
        <f t="shared" si="359"/>
        <v>18.5</v>
      </c>
      <c r="PYT73" s="59" t="s">
        <v>44</v>
      </c>
      <c r="PYU73" s="49" t="s">
        <v>44</v>
      </c>
      <c r="PYV73" s="51">
        <v>45117</v>
      </c>
      <c r="PYW73" s="49"/>
      <c r="PYX73" s="49" t="s">
        <v>43</v>
      </c>
      <c r="PYY73" s="49" t="s">
        <v>45</v>
      </c>
      <c r="PYZ73" s="49" t="s">
        <v>42</v>
      </c>
      <c r="PZA73" s="49" t="s">
        <v>0</v>
      </c>
      <c r="PZB73" s="49">
        <v>0</v>
      </c>
      <c r="PZC73" s="49">
        <v>1</v>
      </c>
      <c r="PZD73" s="58">
        <v>2.5</v>
      </c>
      <c r="PZE73" s="58">
        <v>5</v>
      </c>
      <c r="PZF73" s="58">
        <v>4</v>
      </c>
      <c r="PZG73" s="49">
        <f>INDEX($T$2:$T$11,MATCH(PZC73,$R$2:$R$11,0))</f>
        <v>0.37</v>
      </c>
      <c r="PZH73" s="49">
        <f t="shared" si="358"/>
        <v>50</v>
      </c>
      <c r="PZI73" s="57">
        <f t="shared" si="359"/>
        <v>18.5</v>
      </c>
      <c r="PZJ73" s="59" t="s">
        <v>44</v>
      </c>
      <c r="PZK73" s="49" t="s">
        <v>44</v>
      </c>
      <c r="PZL73" s="51">
        <v>45117</v>
      </c>
      <c r="PZM73" s="49"/>
      <c r="PZN73" s="49" t="s">
        <v>43</v>
      </c>
      <c r="PZO73" s="49" t="s">
        <v>45</v>
      </c>
      <c r="PZP73" s="49" t="s">
        <v>42</v>
      </c>
      <c r="PZQ73" s="49" t="s">
        <v>0</v>
      </c>
      <c r="PZR73" s="49">
        <v>0</v>
      </c>
      <c r="PZS73" s="49">
        <v>1</v>
      </c>
      <c r="PZT73" s="58">
        <v>2.5</v>
      </c>
      <c r="PZU73" s="58">
        <v>5</v>
      </c>
      <c r="PZV73" s="58">
        <v>4</v>
      </c>
      <c r="PZW73" s="49">
        <f>INDEX($T$2:$T$11,MATCH(PZS73,$R$2:$R$11,0))</f>
        <v>0.37</v>
      </c>
      <c r="PZX73" s="49">
        <f t="shared" si="358"/>
        <v>50</v>
      </c>
      <c r="PZY73" s="57">
        <f t="shared" si="359"/>
        <v>18.5</v>
      </c>
      <c r="PZZ73" s="59" t="s">
        <v>44</v>
      </c>
      <c r="QAA73" s="49" t="s">
        <v>44</v>
      </c>
      <c r="QAB73" s="51">
        <v>45117</v>
      </c>
      <c r="QAC73" s="49"/>
      <c r="QAD73" s="49" t="s">
        <v>43</v>
      </c>
      <c r="QAE73" s="49" t="s">
        <v>45</v>
      </c>
      <c r="QAF73" s="49" t="s">
        <v>42</v>
      </c>
      <c r="QAG73" s="49" t="s">
        <v>0</v>
      </c>
      <c r="QAH73" s="49">
        <v>0</v>
      </c>
      <c r="QAI73" s="49">
        <v>1</v>
      </c>
      <c r="QAJ73" s="58">
        <v>2.5</v>
      </c>
      <c r="QAK73" s="58">
        <v>5</v>
      </c>
      <c r="QAL73" s="58">
        <v>4</v>
      </c>
      <c r="QAM73" s="49">
        <f>INDEX($T$2:$T$11,MATCH(QAI73,$R$2:$R$11,0))</f>
        <v>0.37</v>
      </c>
      <c r="QAN73" s="49">
        <f t="shared" ref="QAN73:QCJ73" si="360">QAJ73*QAK73*QAL73</f>
        <v>50</v>
      </c>
      <c r="QAO73" s="57">
        <f t="shared" ref="QAO73:QCK73" si="361">QAM73*QAN73</f>
        <v>18.5</v>
      </c>
      <c r="QAP73" s="59" t="s">
        <v>44</v>
      </c>
      <c r="QAQ73" s="49" t="s">
        <v>44</v>
      </c>
      <c r="QAR73" s="51">
        <v>45117</v>
      </c>
      <c r="QAS73" s="49"/>
      <c r="QAT73" s="49" t="s">
        <v>43</v>
      </c>
      <c r="QAU73" s="49" t="s">
        <v>45</v>
      </c>
      <c r="QAV73" s="49" t="s">
        <v>42</v>
      </c>
      <c r="QAW73" s="49" t="s">
        <v>0</v>
      </c>
      <c r="QAX73" s="49">
        <v>0</v>
      </c>
      <c r="QAY73" s="49">
        <v>1</v>
      </c>
      <c r="QAZ73" s="58">
        <v>2.5</v>
      </c>
      <c r="QBA73" s="58">
        <v>5</v>
      </c>
      <c r="QBB73" s="58">
        <v>4</v>
      </c>
      <c r="QBC73" s="49">
        <f>INDEX($T$2:$T$11,MATCH(QAY73,$R$2:$R$11,0))</f>
        <v>0.37</v>
      </c>
      <c r="QBD73" s="49">
        <f t="shared" si="360"/>
        <v>50</v>
      </c>
      <c r="QBE73" s="57">
        <f t="shared" si="361"/>
        <v>18.5</v>
      </c>
      <c r="QBF73" s="59" t="s">
        <v>44</v>
      </c>
      <c r="QBG73" s="49" t="s">
        <v>44</v>
      </c>
      <c r="QBH73" s="51">
        <v>45117</v>
      </c>
      <c r="QBI73" s="49"/>
      <c r="QBJ73" s="49" t="s">
        <v>43</v>
      </c>
      <c r="QBK73" s="49" t="s">
        <v>45</v>
      </c>
      <c r="QBL73" s="49" t="s">
        <v>42</v>
      </c>
      <c r="QBM73" s="49" t="s">
        <v>0</v>
      </c>
      <c r="QBN73" s="49">
        <v>0</v>
      </c>
      <c r="QBO73" s="49">
        <v>1</v>
      </c>
      <c r="QBP73" s="58">
        <v>2.5</v>
      </c>
      <c r="QBQ73" s="58">
        <v>5</v>
      </c>
      <c r="QBR73" s="58">
        <v>4</v>
      </c>
      <c r="QBS73" s="49">
        <f>INDEX($T$2:$T$11,MATCH(QBO73,$R$2:$R$11,0))</f>
        <v>0.37</v>
      </c>
      <c r="QBT73" s="49">
        <f t="shared" si="360"/>
        <v>50</v>
      </c>
      <c r="QBU73" s="57">
        <f t="shared" si="361"/>
        <v>18.5</v>
      </c>
      <c r="QBV73" s="59" t="s">
        <v>44</v>
      </c>
      <c r="QBW73" s="49" t="s">
        <v>44</v>
      </c>
      <c r="QBX73" s="51">
        <v>45117</v>
      </c>
      <c r="QBY73" s="49"/>
      <c r="QBZ73" s="49" t="s">
        <v>43</v>
      </c>
      <c r="QCA73" s="49" t="s">
        <v>45</v>
      </c>
      <c r="QCB73" s="49" t="s">
        <v>42</v>
      </c>
      <c r="QCC73" s="49" t="s">
        <v>0</v>
      </c>
      <c r="QCD73" s="49">
        <v>0</v>
      </c>
      <c r="QCE73" s="49">
        <v>1</v>
      </c>
      <c r="QCF73" s="58">
        <v>2.5</v>
      </c>
      <c r="QCG73" s="58">
        <v>5</v>
      </c>
      <c r="QCH73" s="58">
        <v>4</v>
      </c>
      <c r="QCI73" s="49">
        <f>INDEX($T$2:$T$11,MATCH(QCE73,$R$2:$R$11,0))</f>
        <v>0.37</v>
      </c>
      <c r="QCJ73" s="49">
        <f t="shared" si="360"/>
        <v>50</v>
      </c>
      <c r="QCK73" s="57">
        <f t="shared" si="361"/>
        <v>18.5</v>
      </c>
      <c r="QCL73" s="59" t="s">
        <v>44</v>
      </c>
      <c r="QCM73" s="49" t="s">
        <v>44</v>
      </c>
      <c r="QCN73" s="51">
        <v>45117</v>
      </c>
      <c r="QCO73" s="49"/>
      <c r="QCP73" s="49" t="s">
        <v>43</v>
      </c>
      <c r="QCQ73" s="49" t="s">
        <v>45</v>
      </c>
      <c r="QCR73" s="49" t="s">
        <v>42</v>
      </c>
      <c r="QCS73" s="49" t="s">
        <v>0</v>
      </c>
      <c r="QCT73" s="49">
        <v>0</v>
      </c>
      <c r="QCU73" s="49">
        <v>1</v>
      </c>
      <c r="QCV73" s="58">
        <v>2.5</v>
      </c>
      <c r="QCW73" s="58">
        <v>5</v>
      </c>
      <c r="QCX73" s="58">
        <v>4</v>
      </c>
      <c r="QCY73" s="49">
        <f>INDEX($T$2:$T$11,MATCH(QCU73,$R$2:$R$11,0))</f>
        <v>0.37</v>
      </c>
      <c r="QCZ73" s="49">
        <f t="shared" ref="QCZ73:QEV73" si="362">QCV73*QCW73*QCX73</f>
        <v>50</v>
      </c>
      <c r="QDA73" s="57">
        <f t="shared" ref="QDA73:QEW73" si="363">QCY73*QCZ73</f>
        <v>18.5</v>
      </c>
      <c r="QDB73" s="59" t="s">
        <v>44</v>
      </c>
      <c r="QDC73" s="49" t="s">
        <v>44</v>
      </c>
      <c r="QDD73" s="51">
        <v>45117</v>
      </c>
      <c r="QDE73" s="49"/>
      <c r="QDF73" s="49" t="s">
        <v>43</v>
      </c>
      <c r="QDG73" s="49" t="s">
        <v>45</v>
      </c>
      <c r="QDH73" s="49" t="s">
        <v>42</v>
      </c>
      <c r="QDI73" s="49" t="s">
        <v>0</v>
      </c>
      <c r="QDJ73" s="49">
        <v>0</v>
      </c>
      <c r="QDK73" s="49">
        <v>1</v>
      </c>
      <c r="QDL73" s="58">
        <v>2.5</v>
      </c>
      <c r="QDM73" s="58">
        <v>5</v>
      </c>
      <c r="QDN73" s="58">
        <v>4</v>
      </c>
      <c r="QDO73" s="49">
        <f>INDEX($T$2:$T$11,MATCH(QDK73,$R$2:$R$11,0))</f>
        <v>0.37</v>
      </c>
      <c r="QDP73" s="49">
        <f t="shared" si="362"/>
        <v>50</v>
      </c>
      <c r="QDQ73" s="57">
        <f t="shared" si="363"/>
        <v>18.5</v>
      </c>
      <c r="QDR73" s="59" t="s">
        <v>44</v>
      </c>
      <c r="QDS73" s="49" t="s">
        <v>44</v>
      </c>
      <c r="QDT73" s="51">
        <v>45117</v>
      </c>
      <c r="QDU73" s="49"/>
      <c r="QDV73" s="49" t="s">
        <v>43</v>
      </c>
      <c r="QDW73" s="49" t="s">
        <v>45</v>
      </c>
      <c r="QDX73" s="49" t="s">
        <v>42</v>
      </c>
      <c r="QDY73" s="49" t="s">
        <v>0</v>
      </c>
      <c r="QDZ73" s="49">
        <v>0</v>
      </c>
      <c r="QEA73" s="49">
        <v>1</v>
      </c>
      <c r="QEB73" s="58">
        <v>2.5</v>
      </c>
      <c r="QEC73" s="58">
        <v>5</v>
      </c>
      <c r="QED73" s="58">
        <v>4</v>
      </c>
      <c r="QEE73" s="49">
        <f>INDEX($T$2:$T$11,MATCH(QEA73,$R$2:$R$11,0))</f>
        <v>0.37</v>
      </c>
      <c r="QEF73" s="49">
        <f t="shared" si="362"/>
        <v>50</v>
      </c>
      <c r="QEG73" s="57">
        <f t="shared" si="363"/>
        <v>18.5</v>
      </c>
      <c r="QEH73" s="59" t="s">
        <v>44</v>
      </c>
      <c r="QEI73" s="49" t="s">
        <v>44</v>
      </c>
      <c r="QEJ73" s="51">
        <v>45117</v>
      </c>
      <c r="QEK73" s="49"/>
      <c r="QEL73" s="49" t="s">
        <v>43</v>
      </c>
      <c r="QEM73" s="49" t="s">
        <v>45</v>
      </c>
      <c r="QEN73" s="49" t="s">
        <v>42</v>
      </c>
      <c r="QEO73" s="49" t="s">
        <v>0</v>
      </c>
      <c r="QEP73" s="49">
        <v>0</v>
      </c>
      <c r="QEQ73" s="49">
        <v>1</v>
      </c>
      <c r="QER73" s="58">
        <v>2.5</v>
      </c>
      <c r="QES73" s="58">
        <v>5</v>
      </c>
      <c r="QET73" s="58">
        <v>4</v>
      </c>
      <c r="QEU73" s="49">
        <f>INDEX($T$2:$T$11,MATCH(QEQ73,$R$2:$R$11,0))</f>
        <v>0.37</v>
      </c>
      <c r="QEV73" s="49">
        <f t="shared" si="362"/>
        <v>50</v>
      </c>
      <c r="QEW73" s="57">
        <f t="shared" si="363"/>
        <v>18.5</v>
      </c>
      <c r="QEX73" s="59" t="s">
        <v>44</v>
      </c>
      <c r="QEY73" s="49" t="s">
        <v>44</v>
      </c>
      <c r="QEZ73" s="51">
        <v>45117</v>
      </c>
      <c r="QFA73" s="49"/>
      <c r="QFB73" s="49" t="s">
        <v>43</v>
      </c>
      <c r="QFC73" s="49" t="s">
        <v>45</v>
      </c>
      <c r="QFD73" s="49" t="s">
        <v>42</v>
      </c>
      <c r="QFE73" s="49" t="s">
        <v>0</v>
      </c>
      <c r="QFF73" s="49">
        <v>0</v>
      </c>
      <c r="QFG73" s="49">
        <v>1</v>
      </c>
      <c r="QFH73" s="58">
        <v>2.5</v>
      </c>
      <c r="QFI73" s="58">
        <v>5</v>
      </c>
      <c r="QFJ73" s="58">
        <v>4</v>
      </c>
      <c r="QFK73" s="49">
        <f>INDEX($T$2:$T$11,MATCH(QFG73,$R$2:$R$11,0))</f>
        <v>0.37</v>
      </c>
      <c r="QFL73" s="49">
        <f t="shared" ref="QFL73:QHH73" si="364">QFH73*QFI73*QFJ73</f>
        <v>50</v>
      </c>
      <c r="QFM73" s="57">
        <f t="shared" ref="QFM73:QHI73" si="365">QFK73*QFL73</f>
        <v>18.5</v>
      </c>
      <c r="QFN73" s="59" t="s">
        <v>44</v>
      </c>
      <c r="QFO73" s="49" t="s">
        <v>44</v>
      </c>
      <c r="QFP73" s="51">
        <v>45117</v>
      </c>
      <c r="QFQ73" s="49"/>
      <c r="QFR73" s="49" t="s">
        <v>43</v>
      </c>
      <c r="QFS73" s="49" t="s">
        <v>45</v>
      </c>
      <c r="QFT73" s="49" t="s">
        <v>42</v>
      </c>
      <c r="QFU73" s="49" t="s">
        <v>0</v>
      </c>
      <c r="QFV73" s="49">
        <v>0</v>
      </c>
      <c r="QFW73" s="49">
        <v>1</v>
      </c>
      <c r="QFX73" s="58">
        <v>2.5</v>
      </c>
      <c r="QFY73" s="58">
        <v>5</v>
      </c>
      <c r="QFZ73" s="58">
        <v>4</v>
      </c>
      <c r="QGA73" s="49">
        <f>INDEX($T$2:$T$11,MATCH(QFW73,$R$2:$R$11,0))</f>
        <v>0.37</v>
      </c>
      <c r="QGB73" s="49">
        <f t="shared" si="364"/>
        <v>50</v>
      </c>
      <c r="QGC73" s="57">
        <f t="shared" si="365"/>
        <v>18.5</v>
      </c>
      <c r="QGD73" s="59" t="s">
        <v>44</v>
      </c>
      <c r="QGE73" s="49" t="s">
        <v>44</v>
      </c>
      <c r="QGF73" s="51">
        <v>45117</v>
      </c>
      <c r="QGG73" s="49"/>
      <c r="QGH73" s="49" t="s">
        <v>43</v>
      </c>
      <c r="QGI73" s="49" t="s">
        <v>45</v>
      </c>
      <c r="QGJ73" s="49" t="s">
        <v>42</v>
      </c>
      <c r="QGK73" s="49" t="s">
        <v>0</v>
      </c>
      <c r="QGL73" s="49">
        <v>0</v>
      </c>
      <c r="QGM73" s="49">
        <v>1</v>
      </c>
      <c r="QGN73" s="58">
        <v>2.5</v>
      </c>
      <c r="QGO73" s="58">
        <v>5</v>
      </c>
      <c r="QGP73" s="58">
        <v>4</v>
      </c>
      <c r="QGQ73" s="49">
        <f>INDEX($T$2:$T$11,MATCH(QGM73,$R$2:$R$11,0))</f>
        <v>0.37</v>
      </c>
      <c r="QGR73" s="49">
        <f t="shared" si="364"/>
        <v>50</v>
      </c>
      <c r="QGS73" s="57">
        <f t="shared" si="365"/>
        <v>18.5</v>
      </c>
      <c r="QGT73" s="59" t="s">
        <v>44</v>
      </c>
      <c r="QGU73" s="49" t="s">
        <v>44</v>
      </c>
      <c r="QGV73" s="51">
        <v>45117</v>
      </c>
      <c r="QGW73" s="49"/>
      <c r="QGX73" s="49" t="s">
        <v>43</v>
      </c>
      <c r="QGY73" s="49" t="s">
        <v>45</v>
      </c>
      <c r="QGZ73" s="49" t="s">
        <v>42</v>
      </c>
      <c r="QHA73" s="49" t="s">
        <v>0</v>
      </c>
      <c r="QHB73" s="49">
        <v>0</v>
      </c>
      <c r="QHC73" s="49">
        <v>1</v>
      </c>
      <c r="QHD73" s="58">
        <v>2.5</v>
      </c>
      <c r="QHE73" s="58">
        <v>5</v>
      </c>
      <c r="QHF73" s="58">
        <v>4</v>
      </c>
      <c r="QHG73" s="49">
        <f>INDEX($T$2:$T$11,MATCH(QHC73,$R$2:$R$11,0))</f>
        <v>0.37</v>
      </c>
      <c r="QHH73" s="49">
        <f t="shared" si="364"/>
        <v>50</v>
      </c>
      <c r="QHI73" s="57">
        <f t="shared" si="365"/>
        <v>18.5</v>
      </c>
      <c r="QHJ73" s="59" t="s">
        <v>44</v>
      </c>
      <c r="QHK73" s="49" t="s">
        <v>44</v>
      </c>
      <c r="QHL73" s="51">
        <v>45117</v>
      </c>
      <c r="QHM73" s="49"/>
      <c r="QHN73" s="49" t="s">
        <v>43</v>
      </c>
      <c r="QHO73" s="49" t="s">
        <v>45</v>
      </c>
      <c r="QHP73" s="49" t="s">
        <v>42</v>
      </c>
      <c r="QHQ73" s="49" t="s">
        <v>0</v>
      </c>
      <c r="QHR73" s="49">
        <v>0</v>
      </c>
      <c r="QHS73" s="49">
        <v>1</v>
      </c>
      <c r="QHT73" s="58">
        <v>2.5</v>
      </c>
      <c r="QHU73" s="58">
        <v>5</v>
      </c>
      <c r="QHV73" s="58">
        <v>4</v>
      </c>
      <c r="QHW73" s="49">
        <f>INDEX($T$2:$T$11,MATCH(QHS73,$R$2:$R$11,0))</f>
        <v>0.37</v>
      </c>
      <c r="QHX73" s="49">
        <f t="shared" ref="QHX73:QJT73" si="366">QHT73*QHU73*QHV73</f>
        <v>50</v>
      </c>
      <c r="QHY73" s="57">
        <f t="shared" ref="QHY73:QJU73" si="367">QHW73*QHX73</f>
        <v>18.5</v>
      </c>
      <c r="QHZ73" s="59" t="s">
        <v>44</v>
      </c>
      <c r="QIA73" s="49" t="s">
        <v>44</v>
      </c>
      <c r="QIB73" s="51">
        <v>45117</v>
      </c>
      <c r="QIC73" s="49"/>
      <c r="QID73" s="49" t="s">
        <v>43</v>
      </c>
      <c r="QIE73" s="49" t="s">
        <v>45</v>
      </c>
      <c r="QIF73" s="49" t="s">
        <v>42</v>
      </c>
      <c r="QIG73" s="49" t="s">
        <v>0</v>
      </c>
      <c r="QIH73" s="49">
        <v>0</v>
      </c>
      <c r="QII73" s="49">
        <v>1</v>
      </c>
      <c r="QIJ73" s="58">
        <v>2.5</v>
      </c>
      <c r="QIK73" s="58">
        <v>5</v>
      </c>
      <c r="QIL73" s="58">
        <v>4</v>
      </c>
      <c r="QIM73" s="49">
        <f>INDEX($T$2:$T$11,MATCH(QII73,$R$2:$R$11,0))</f>
        <v>0.37</v>
      </c>
      <c r="QIN73" s="49">
        <f t="shared" si="366"/>
        <v>50</v>
      </c>
      <c r="QIO73" s="57">
        <f t="shared" si="367"/>
        <v>18.5</v>
      </c>
      <c r="QIP73" s="59" t="s">
        <v>44</v>
      </c>
      <c r="QIQ73" s="49" t="s">
        <v>44</v>
      </c>
      <c r="QIR73" s="51">
        <v>45117</v>
      </c>
      <c r="QIS73" s="49"/>
      <c r="QIT73" s="49" t="s">
        <v>43</v>
      </c>
      <c r="QIU73" s="49" t="s">
        <v>45</v>
      </c>
      <c r="QIV73" s="49" t="s">
        <v>42</v>
      </c>
      <c r="QIW73" s="49" t="s">
        <v>0</v>
      </c>
      <c r="QIX73" s="49">
        <v>0</v>
      </c>
      <c r="QIY73" s="49">
        <v>1</v>
      </c>
      <c r="QIZ73" s="58">
        <v>2.5</v>
      </c>
      <c r="QJA73" s="58">
        <v>5</v>
      </c>
      <c r="QJB73" s="58">
        <v>4</v>
      </c>
      <c r="QJC73" s="49">
        <f>INDEX($T$2:$T$11,MATCH(QIY73,$R$2:$R$11,0))</f>
        <v>0.37</v>
      </c>
      <c r="QJD73" s="49">
        <f t="shared" si="366"/>
        <v>50</v>
      </c>
      <c r="QJE73" s="57">
        <f t="shared" si="367"/>
        <v>18.5</v>
      </c>
      <c r="QJF73" s="59" t="s">
        <v>44</v>
      </c>
      <c r="QJG73" s="49" t="s">
        <v>44</v>
      </c>
      <c r="QJH73" s="51">
        <v>45117</v>
      </c>
      <c r="QJI73" s="49"/>
      <c r="QJJ73" s="49" t="s">
        <v>43</v>
      </c>
      <c r="QJK73" s="49" t="s">
        <v>45</v>
      </c>
      <c r="QJL73" s="49" t="s">
        <v>42</v>
      </c>
      <c r="QJM73" s="49" t="s">
        <v>0</v>
      </c>
      <c r="QJN73" s="49">
        <v>0</v>
      </c>
      <c r="QJO73" s="49">
        <v>1</v>
      </c>
      <c r="QJP73" s="58">
        <v>2.5</v>
      </c>
      <c r="QJQ73" s="58">
        <v>5</v>
      </c>
      <c r="QJR73" s="58">
        <v>4</v>
      </c>
      <c r="QJS73" s="49">
        <f>INDEX($T$2:$T$11,MATCH(QJO73,$R$2:$R$11,0))</f>
        <v>0.37</v>
      </c>
      <c r="QJT73" s="49">
        <f t="shared" si="366"/>
        <v>50</v>
      </c>
      <c r="QJU73" s="57">
        <f t="shared" si="367"/>
        <v>18.5</v>
      </c>
      <c r="QJV73" s="59" t="s">
        <v>44</v>
      </c>
      <c r="QJW73" s="49" t="s">
        <v>44</v>
      </c>
      <c r="QJX73" s="51">
        <v>45117</v>
      </c>
      <c r="QJY73" s="49"/>
      <c r="QJZ73" s="49" t="s">
        <v>43</v>
      </c>
      <c r="QKA73" s="49" t="s">
        <v>45</v>
      </c>
      <c r="QKB73" s="49" t="s">
        <v>42</v>
      </c>
      <c r="QKC73" s="49" t="s">
        <v>0</v>
      </c>
      <c r="QKD73" s="49">
        <v>0</v>
      </c>
      <c r="QKE73" s="49">
        <v>1</v>
      </c>
      <c r="QKF73" s="58">
        <v>2.5</v>
      </c>
      <c r="QKG73" s="58">
        <v>5</v>
      </c>
      <c r="QKH73" s="58">
        <v>4</v>
      </c>
      <c r="QKI73" s="49">
        <f>INDEX($T$2:$T$11,MATCH(QKE73,$R$2:$R$11,0))</f>
        <v>0.37</v>
      </c>
      <c r="QKJ73" s="49">
        <f t="shared" ref="QKJ73:QMF73" si="368">QKF73*QKG73*QKH73</f>
        <v>50</v>
      </c>
      <c r="QKK73" s="57">
        <f t="shared" ref="QKK73:QMG73" si="369">QKI73*QKJ73</f>
        <v>18.5</v>
      </c>
      <c r="QKL73" s="59" t="s">
        <v>44</v>
      </c>
      <c r="QKM73" s="49" t="s">
        <v>44</v>
      </c>
      <c r="QKN73" s="51">
        <v>45117</v>
      </c>
      <c r="QKO73" s="49"/>
      <c r="QKP73" s="49" t="s">
        <v>43</v>
      </c>
      <c r="QKQ73" s="49" t="s">
        <v>45</v>
      </c>
      <c r="QKR73" s="49" t="s">
        <v>42</v>
      </c>
      <c r="QKS73" s="49" t="s">
        <v>0</v>
      </c>
      <c r="QKT73" s="49">
        <v>0</v>
      </c>
      <c r="QKU73" s="49">
        <v>1</v>
      </c>
      <c r="QKV73" s="58">
        <v>2.5</v>
      </c>
      <c r="QKW73" s="58">
        <v>5</v>
      </c>
      <c r="QKX73" s="58">
        <v>4</v>
      </c>
      <c r="QKY73" s="49">
        <f>INDEX($T$2:$T$11,MATCH(QKU73,$R$2:$R$11,0))</f>
        <v>0.37</v>
      </c>
      <c r="QKZ73" s="49">
        <f t="shared" si="368"/>
        <v>50</v>
      </c>
      <c r="QLA73" s="57">
        <f t="shared" si="369"/>
        <v>18.5</v>
      </c>
      <c r="QLB73" s="59" t="s">
        <v>44</v>
      </c>
      <c r="QLC73" s="49" t="s">
        <v>44</v>
      </c>
      <c r="QLD73" s="51">
        <v>45117</v>
      </c>
      <c r="QLE73" s="49"/>
      <c r="QLF73" s="49" t="s">
        <v>43</v>
      </c>
      <c r="QLG73" s="49" t="s">
        <v>45</v>
      </c>
      <c r="QLH73" s="49" t="s">
        <v>42</v>
      </c>
      <c r="QLI73" s="49" t="s">
        <v>0</v>
      </c>
      <c r="QLJ73" s="49">
        <v>0</v>
      </c>
      <c r="QLK73" s="49">
        <v>1</v>
      </c>
      <c r="QLL73" s="58">
        <v>2.5</v>
      </c>
      <c r="QLM73" s="58">
        <v>5</v>
      </c>
      <c r="QLN73" s="58">
        <v>4</v>
      </c>
      <c r="QLO73" s="49">
        <f>INDEX($T$2:$T$11,MATCH(QLK73,$R$2:$R$11,0))</f>
        <v>0.37</v>
      </c>
      <c r="QLP73" s="49">
        <f t="shared" si="368"/>
        <v>50</v>
      </c>
      <c r="QLQ73" s="57">
        <f t="shared" si="369"/>
        <v>18.5</v>
      </c>
      <c r="QLR73" s="59" t="s">
        <v>44</v>
      </c>
      <c r="QLS73" s="49" t="s">
        <v>44</v>
      </c>
      <c r="QLT73" s="51">
        <v>45117</v>
      </c>
      <c r="QLU73" s="49"/>
      <c r="QLV73" s="49" t="s">
        <v>43</v>
      </c>
      <c r="QLW73" s="49" t="s">
        <v>45</v>
      </c>
      <c r="QLX73" s="49" t="s">
        <v>42</v>
      </c>
      <c r="QLY73" s="49" t="s">
        <v>0</v>
      </c>
      <c r="QLZ73" s="49">
        <v>0</v>
      </c>
      <c r="QMA73" s="49">
        <v>1</v>
      </c>
      <c r="QMB73" s="58">
        <v>2.5</v>
      </c>
      <c r="QMC73" s="58">
        <v>5</v>
      </c>
      <c r="QMD73" s="58">
        <v>4</v>
      </c>
      <c r="QME73" s="49">
        <f>INDEX($T$2:$T$11,MATCH(QMA73,$R$2:$R$11,0))</f>
        <v>0.37</v>
      </c>
      <c r="QMF73" s="49">
        <f t="shared" si="368"/>
        <v>50</v>
      </c>
      <c r="QMG73" s="57">
        <f t="shared" si="369"/>
        <v>18.5</v>
      </c>
      <c r="QMH73" s="59" t="s">
        <v>44</v>
      </c>
      <c r="QMI73" s="49" t="s">
        <v>44</v>
      </c>
      <c r="QMJ73" s="51">
        <v>45117</v>
      </c>
      <c r="QMK73" s="49"/>
      <c r="QML73" s="49" t="s">
        <v>43</v>
      </c>
      <c r="QMM73" s="49" t="s">
        <v>45</v>
      </c>
      <c r="QMN73" s="49" t="s">
        <v>42</v>
      </c>
      <c r="QMO73" s="49" t="s">
        <v>0</v>
      </c>
      <c r="QMP73" s="49">
        <v>0</v>
      </c>
      <c r="QMQ73" s="49">
        <v>1</v>
      </c>
      <c r="QMR73" s="58">
        <v>2.5</v>
      </c>
      <c r="QMS73" s="58">
        <v>5</v>
      </c>
      <c r="QMT73" s="58">
        <v>4</v>
      </c>
      <c r="QMU73" s="49">
        <f>INDEX($T$2:$T$11,MATCH(QMQ73,$R$2:$R$11,0))</f>
        <v>0.37</v>
      </c>
      <c r="QMV73" s="49">
        <f t="shared" ref="QMV73:QOR73" si="370">QMR73*QMS73*QMT73</f>
        <v>50</v>
      </c>
      <c r="QMW73" s="57">
        <f t="shared" ref="QMW73:QOS73" si="371">QMU73*QMV73</f>
        <v>18.5</v>
      </c>
      <c r="QMX73" s="59" t="s">
        <v>44</v>
      </c>
      <c r="QMY73" s="49" t="s">
        <v>44</v>
      </c>
      <c r="QMZ73" s="51">
        <v>45117</v>
      </c>
      <c r="QNA73" s="49"/>
      <c r="QNB73" s="49" t="s">
        <v>43</v>
      </c>
      <c r="QNC73" s="49" t="s">
        <v>45</v>
      </c>
      <c r="QND73" s="49" t="s">
        <v>42</v>
      </c>
      <c r="QNE73" s="49" t="s">
        <v>0</v>
      </c>
      <c r="QNF73" s="49">
        <v>0</v>
      </c>
      <c r="QNG73" s="49">
        <v>1</v>
      </c>
      <c r="QNH73" s="58">
        <v>2.5</v>
      </c>
      <c r="QNI73" s="58">
        <v>5</v>
      </c>
      <c r="QNJ73" s="58">
        <v>4</v>
      </c>
      <c r="QNK73" s="49">
        <f>INDEX($T$2:$T$11,MATCH(QNG73,$R$2:$R$11,0))</f>
        <v>0.37</v>
      </c>
      <c r="QNL73" s="49">
        <f t="shared" si="370"/>
        <v>50</v>
      </c>
      <c r="QNM73" s="57">
        <f t="shared" si="371"/>
        <v>18.5</v>
      </c>
      <c r="QNN73" s="59" t="s">
        <v>44</v>
      </c>
      <c r="QNO73" s="49" t="s">
        <v>44</v>
      </c>
      <c r="QNP73" s="51">
        <v>45117</v>
      </c>
      <c r="QNQ73" s="49"/>
      <c r="QNR73" s="49" t="s">
        <v>43</v>
      </c>
      <c r="QNS73" s="49" t="s">
        <v>45</v>
      </c>
      <c r="QNT73" s="49" t="s">
        <v>42</v>
      </c>
      <c r="QNU73" s="49" t="s">
        <v>0</v>
      </c>
      <c r="QNV73" s="49">
        <v>0</v>
      </c>
      <c r="QNW73" s="49">
        <v>1</v>
      </c>
      <c r="QNX73" s="58">
        <v>2.5</v>
      </c>
      <c r="QNY73" s="58">
        <v>5</v>
      </c>
      <c r="QNZ73" s="58">
        <v>4</v>
      </c>
      <c r="QOA73" s="49">
        <f>INDEX($T$2:$T$11,MATCH(QNW73,$R$2:$R$11,0))</f>
        <v>0.37</v>
      </c>
      <c r="QOB73" s="49">
        <f t="shared" si="370"/>
        <v>50</v>
      </c>
      <c r="QOC73" s="57">
        <f t="shared" si="371"/>
        <v>18.5</v>
      </c>
      <c r="QOD73" s="59" t="s">
        <v>44</v>
      </c>
      <c r="QOE73" s="49" t="s">
        <v>44</v>
      </c>
      <c r="QOF73" s="51">
        <v>45117</v>
      </c>
      <c r="QOG73" s="49"/>
      <c r="QOH73" s="49" t="s">
        <v>43</v>
      </c>
      <c r="QOI73" s="49" t="s">
        <v>45</v>
      </c>
      <c r="QOJ73" s="49" t="s">
        <v>42</v>
      </c>
      <c r="QOK73" s="49" t="s">
        <v>0</v>
      </c>
      <c r="QOL73" s="49">
        <v>0</v>
      </c>
      <c r="QOM73" s="49">
        <v>1</v>
      </c>
      <c r="QON73" s="58">
        <v>2.5</v>
      </c>
      <c r="QOO73" s="58">
        <v>5</v>
      </c>
      <c r="QOP73" s="58">
        <v>4</v>
      </c>
      <c r="QOQ73" s="49">
        <f>INDEX($T$2:$T$11,MATCH(QOM73,$R$2:$R$11,0))</f>
        <v>0.37</v>
      </c>
      <c r="QOR73" s="49">
        <f t="shared" si="370"/>
        <v>50</v>
      </c>
      <c r="QOS73" s="57">
        <f t="shared" si="371"/>
        <v>18.5</v>
      </c>
      <c r="QOT73" s="59" t="s">
        <v>44</v>
      </c>
      <c r="QOU73" s="49" t="s">
        <v>44</v>
      </c>
      <c r="QOV73" s="51">
        <v>45117</v>
      </c>
      <c r="QOW73" s="49"/>
      <c r="QOX73" s="49" t="s">
        <v>43</v>
      </c>
      <c r="QOY73" s="49" t="s">
        <v>45</v>
      </c>
      <c r="QOZ73" s="49" t="s">
        <v>42</v>
      </c>
      <c r="QPA73" s="49" t="s">
        <v>0</v>
      </c>
      <c r="QPB73" s="49">
        <v>0</v>
      </c>
      <c r="QPC73" s="49">
        <v>1</v>
      </c>
      <c r="QPD73" s="58">
        <v>2.5</v>
      </c>
      <c r="QPE73" s="58">
        <v>5</v>
      </c>
      <c r="QPF73" s="58">
        <v>4</v>
      </c>
      <c r="QPG73" s="49">
        <f>INDEX($T$2:$T$11,MATCH(QPC73,$R$2:$R$11,0))</f>
        <v>0.37</v>
      </c>
      <c r="QPH73" s="49">
        <f t="shared" ref="QPH73:QRD73" si="372">QPD73*QPE73*QPF73</f>
        <v>50</v>
      </c>
      <c r="QPI73" s="57">
        <f t="shared" ref="QPI73:QRE73" si="373">QPG73*QPH73</f>
        <v>18.5</v>
      </c>
      <c r="QPJ73" s="59" t="s">
        <v>44</v>
      </c>
      <c r="QPK73" s="49" t="s">
        <v>44</v>
      </c>
      <c r="QPL73" s="51">
        <v>45117</v>
      </c>
      <c r="QPM73" s="49"/>
      <c r="QPN73" s="49" t="s">
        <v>43</v>
      </c>
      <c r="QPO73" s="49" t="s">
        <v>45</v>
      </c>
      <c r="QPP73" s="49" t="s">
        <v>42</v>
      </c>
      <c r="QPQ73" s="49" t="s">
        <v>0</v>
      </c>
      <c r="QPR73" s="49">
        <v>0</v>
      </c>
      <c r="QPS73" s="49">
        <v>1</v>
      </c>
      <c r="QPT73" s="58">
        <v>2.5</v>
      </c>
      <c r="QPU73" s="58">
        <v>5</v>
      </c>
      <c r="QPV73" s="58">
        <v>4</v>
      </c>
      <c r="QPW73" s="49">
        <f>INDEX($T$2:$T$11,MATCH(QPS73,$R$2:$R$11,0))</f>
        <v>0.37</v>
      </c>
      <c r="QPX73" s="49">
        <f t="shared" si="372"/>
        <v>50</v>
      </c>
      <c r="QPY73" s="57">
        <f t="shared" si="373"/>
        <v>18.5</v>
      </c>
      <c r="QPZ73" s="59" t="s">
        <v>44</v>
      </c>
      <c r="QQA73" s="49" t="s">
        <v>44</v>
      </c>
      <c r="QQB73" s="51">
        <v>45117</v>
      </c>
      <c r="QQC73" s="49"/>
      <c r="QQD73" s="49" t="s">
        <v>43</v>
      </c>
      <c r="QQE73" s="49" t="s">
        <v>45</v>
      </c>
      <c r="QQF73" s="49" t="s">
        <v>42</v>
      </c>
      <c r="QQG73" s="49" t="s">
        <v>0</v>
      </c>
      <c r="QQH73" s="49">
        <v>0</v>
      </c>
      <c r="QQI73" s="49">
        <v>1</v>
      </c>
      <c r="QQJ73" s="58">
        <v>2.5</v>
      </c>
      <c r="QQK73" s="58">
        <v>5</v>
      </c>
      <c r="QQL73" s="58">
        <v>4</v>
      </c>
      <c r="QQM73" s="49">
        <f>INDEX($T$2:$T$11,MATCH(QQI73,$R$2:$R$11,0))</f>
        <v>0.37</v>
      </c>
      <c r="QQN73" s="49">
        <f t="shared" si="372"/>
        <v>50</v>
      </c>
      <c r="QQO73" s="57">
        <f t="shared" si="373"/>
        <v>18.5</v>
      </c>
      <c r="QQP73" s="59" t="s">
        <v>44</v>
      </c>
      <c r="QQQ73" s="49" t="s">
        <v>44</v>
      </c>
      <c r="QQR73" s="51">
        <v>45117</v>
      </c>
      <c r="QQS73" s="49"/>
      <c r="QQT73" s="49" t="s">
        <v>43</v>
      </c>
      <c r="QQU73" s="49" t="s">
        <v>45</v>
      </c>
      <c r="QQV73" s="49" t="s">
        <v>42</v>
      </c>
      <c r="QQW73" s="49" t="s">
        <v>0</v>
      </c>
      <c r="QQX73" s="49">
        <v>0</v>
      </c>
      <c r="QQY73" s="49">
        <v>1</v>
      </c>
      <c r="QQZ73" s="58">
        <v>2.5</v>
      </c>
      <c r="QRA73" s="58">
        <v>5</v>
      </c>
      <c r="QRB73" s="58">
        <v>4</v>
      </c>
      <c r="QRC73" s="49">
        <f>INDEX($T$2:$T$11,MATCH(QQY73,$R$2:$R$11,0))</f>
        <v>0.37</v>
      </c>
      <c r="QRD73" s="49">
        <f t="shared" si="372"/>
        <v>50</v>
      </c>
      <c r="QRE73" s="57">
        <f t="shared" si="373"/>
        <v>18.5</v>
      </c>
      <c r="QRF73" s="59" t="s">
        <v>44</v>
      </c>
      <c r="QRG73" s="49" t="s">
        <v>44</v>
      </c>
      <c r="QRH73" s="51">
        <v>45117</v>
      </c>
      <c r="QRI73" s="49"/>
      <c r="QRJ73" s="49" t="s">
        <v>43</v>
      </c>
      <c r="QRK73" s="49" t="s">
        <v>45</v>
      </c>
      <c r="QRL73" s="49" t="s">
        <v>42</v>
      </c>
      <c r="QRM73" s="49" t="s">
        <v>0</v>
      </c>
      <c r="QRN73" s="49">
        <v>0</v>
      </c>
      <c r="QRO73" s="49">
        <v>1</v>
      </c>
      <c r="QRP73" s="58">
        <v>2.5</v>
      </c>
      <c r="QRQ73" s="58">
        <v>5</v>
      </c>
      <c r="QRR73" s="58">
        <v>4</v>
      </c>
      <c r="QRS73" s="49">
        <f>INDEX($T$2:$T$11,MATCH(QRO73,$R$2:$R$11,0))</f>
        <v>0.37</v>
      </c>
      <c r="QRT73" s="49">
        <f t="shared" ref="QRT73:QTP73" si="374">QRP73*QRQ73*QRR73</f>
        <v>50</v>
      </c>
      <c r="QRU73" s="57">
        <f t="shared" ref="QRU73:QTQ73" si="375">QRS73*QRT73</f>
        <v>18.5</v>
      </c>
      <c r="QRV73" s="59" t="s">
        <v>44</v>
      </c>
      <c r="QRW73" s="49" t="s">
        <v>44</v>
      </c>
      <c r="QRX73" s="51">
        <v>45117</v>
      </c>
      <c r="QRY73" s="49"/>
      <c r="QRZ73" s="49" t="s">
        <v>43</v>
      </c>
      <c r="QSA73" s="49" t="s">
        <v>45</v>
      </c>
      <c r="QSB73" s="49" t="s">
        <v>42</v>
      </c>
      <c r="QSC73" s="49" t="s">
        <v>0</v>
      </c>
      <c r="QSD73" s="49">
        <v>0</v>
      </c>
      <c r="QSE73" s="49">
        <v>1</v>
      </c>
      <c r="QSF73" s="58">
        <v>2.5</v>
      </c>
      <c r="QSG73" s="58">
        <v>5</v>
      </c>
      <c r="QSH73" s="58">
        <v>4</v>
      </c>
      <c r="QSI73" s="49">
        <f>INDEX($T$2:$T$11,MATCH(QSE73,$R$2:$R$11,0))</f>
        <v>0.37</v>
      </c>
      <c r="QSJ73" s="49">
        <f t="shared" si="374"/>
        <v>50</v>
      </c>
      <c r="QSK73" s="57">
        <f t="shared" si="375"/>
        <v>18.5</v>
      </c>
      <c r="QSL73" s="59" t="s">
        <v>44</v>
      </c>
      <c r="QSM73" s="49" t="s">
        <v>44</v>
      </c>
      <c r="QSN73" s="51">
        <v>45117</v>
      </c>
      <c r="QSO73" s="49"/>
      <c r="QSP73" s="49" t="s">
        <v>43</v>
      </c>
      <c r="QSQ73" s="49" t="s">
        <v>45</v>
      </c>
      <c r="QSR73" s="49" t="s">
        <v>42</v>
      </c>
      <c r="QSS73" s="49" t="s">
        <v>0</v>
      </c>
      <c r="QST73" s="49">
        <v>0</v>
      </c>
      <c r="QSU73" s="49">
        <v>1</v>
      </c>
      <c r="QSV73" s="58">
        <v>2.5</v>
      </c>
      <c r="QSW73" s="58">
        <v>5</v>
      </c>
      <c r="QSX73" s="58">
        <v>4</v>
      </c>
      <c r="QSY73" s="49">
        <f>INDEX($T$2:$T$11,MATCH(QSU73,$R$2:$R$11,0))</f>
        <v>0.37</v>
      </c>
      <c r="QSZ73" s="49">
        <f t="shared" si="374"/>
        <v>50</v>
      </c>
      <c r="QTA73" s="57">
        <f t="shared" si="375"/>
        <v>18.5</v>
      </c>
      <c r="QTB73" s="59" t="s">
        <v>44</v>
      </c>
      <c r="QTC73" s="49" t="s">
        <v>44</v>
      </c>
      <c r="QTD73" s="51">
        <v>45117</v>
      </c>
      <c r="QTE73" s="49"/>
      <c r="QTF73" s="49" t="s">
        <v>43</v>
      </c>
      <c r="QTG73" s="49" t="s">
        <v>45</v>
      </c>
      <c r="QTH73" s="49" t="s">
        <v>42</v>
      </c>
      <c r="QTI73" s="49" t="s">
        <v>0</v>
      </c>
      <c r="QTJ73" s="49">
        <v>0</v>
      </c>
      <c r="QTK73" s="49">
        <v>1</v>
      </c>
      <c r="QTL73" s="58">
        <v>2.5</v>
      </c>
      <c r="QTM73" s="58">
        <v>5</v>
      </c>
      <c r="QTN73" s="58">
        <v>4</v>
      </c>
      <c r="QTO73" s="49">
        <f>INDEX($T$2:$T$11,MATCH(QTK73,$R$2:$R$11,0))</f>
        <v>0.37</v>
      </c>
      <c r="QTP73" s="49">
        <f t="shared" si="374"/>
        <v>50</v>
      </c>
      <c r="QTQ73" s="57">
        <f t="shared" si="375"/>
        <v>18.5</v>
      </c>
      <c r="QTR73" s="59" t="s">
        <v>44</v>
      </c>
      <c r="QTS73" s="49" t="s">
        <v>44</v>
      </c>
      <c r="QTT73" s="51">
        <v>45117</v>
      </c>
      <c r="QTU73" s="49"/>
      <c r="QTV73" s="49" t="s">
        <v>43</v>
      </c>
      <c r="QTW73" s="49" t="s">
        <v>45</v>
      </c>
      <c r="QTX73" s="49" t="s">
        <v>42</v>
      </c>
      <c r="QTY73" s="49" t="s">
        <v>0</v>
      </c>
      <c r="QTZ73" s="49">
        <v>0</v>
      </c>
      <c r="QUA73" s="49">
        <v>1</v>
      </c>
      <c r="QUB73" s="58">
        <v>2.5</v>
      </c>
      <c r="QUC73" s="58">
        <v>5</v>
      </c>
      <c r="QUD73" s="58">
        <v>4</v>
      </c>
      <c r="QUE73" s="49">
        <f>INDEX($T$2:$T$11,MATCH(QUA73,$R$2:$R$11,0))</f>
        <v>0.37</v>
      </c>
      <c r="QUF73" s="49">
        <f t="shared" ref="QUF73:QWB73" si="376">QUB73*QUC73*QUD73</f>
        <v>50</v>
      </c>
      <c r="QUG73" s="57">
        <f t="shared" ref="QUG73:QWC73" si="377">QUE73*QUF73</f>
        <v>18.5</v>
      </c>
      <c r="QUH73" s="59" t="s">
        <v>44</v>
      </c>
      <c r="QUI73" s="49" t="s">
        <v>44</v>
      </c>
      <c r="QUJ73" s="51">
        <v>45117</v>
      </c>
      <c r="QUK73" s="49"/>
      <c r="QUL73" s="49" t="s">
        <v>43</v>
      </c>
      <c r="QUM73" s="49" t="s">
        <v>45</v>
      </c>
      <c r="QUN73" s="49" t="s">
        <v>42</v>
      </c>
      <c r="QUO73" s="49" t="s">
        <v>0</v>
      </c>
      <c r="QUP73" s="49">
        <v>0</v>
      </c>
      <c r="QUQ73" s="49">
        <v>1</v>
      </c>
      <c r="QUR73" s="58">
        <v>2.5</v>
      </c>
      <c r="QUS73" s="58">
        <v>5</v>
      </c>
      <c r="QUT73" s="58">
        <v>4</v>
      </c>
      <c r="QUU73" s="49">
        <f>INDEX($T$2:$T$11,MATCH(QUQ73,$R$2:$R$11,0))</f>
        <v>0.37</v>
      </c>
      <c r="QUV73" s="49">
        <f t="shared" si="376"/>
        <v>50</v>
      </c>
      <c r="QUW73" s="57">
        <f t="shared" si="377"/>
        <v>18.5</v>
      </c>
      <c r="QUX73" s="59" t="s">
        <v>44</v>
      </c>
      <c r="QUY73" s="49" t="s">
        <v>44</v>
      </c>
      <c r="QUZ73" s="51">
        <v>45117</v>
      </c>
      <c r="QVA73" s="49"/>
      <c r="QVB73" s="49" t="s">
        <v>43</v>
      </c>
      <c r="QVC73" s="49" t="s">
        <v>45</v>
      </c>
      <c r="QVD73" s="49" t="s">
        <v>42</v>
      </c>
      <c r="QVE73" s="49" t="s">
        <v>0</v>
      </c>
      <c r="QVF73" s="49">
        <v>0</v>
      </c>
      <c r="QVG73" s="49">
        <v>1</v>
      </c>
      <c r="QVH73" s="58">
        <v>2.5</v>
      </c>
      <c r="QVI73" s="58">
        <v>5</v>
      </c>
      <c r="QVJ73" s="58">
        <v>4</v>
      </c>
      <c r="QVK73" s="49">
        <f>INDEX($T$2:$T$11,MATCH(QVG73,$R$2:$R$11,0))</f>
        <v>0.37</v>
      </c>
      <c r="QVL73" s="49">
        <f t="shared" si="376"/>
        <v>50</v>
      </c>
      <c r="QVM73" s="57">
        <f t="shared" si="377"/>
        <v>18.5</v>
      </c>
      <c r="QVN73" s="59" t="s">
        <v>44</v>
      </c>
      <c r="QVO73" s="49" t="s">
        <v>44</v>
      </c>
      <c r="QVP73" s="51">
        <v>45117</v>
      </c>
      <c r="QVQ73" s="49"/>
      <c r="QVR73" s="49" t="s">
        <v>43</v>
      </c>
      <c r="QVS73" s="49" t="s">
        <v>45</v>
      </c>
      <c r="QVT73" s="49" t="s">
        <v>42</v>
      </c>
      <c r="QVU73" s="49" t="s">
        <v>0</v>
      </c>
      <c r="QVV73" s="49">
        <v>0</v>
      </c>
      <c r="QVW73" s="49">
        <v>1</v>
      </c>
      <c r="QVX73" s="58">
        <v>2.5</v>
      </c>
      <c r="QVY73" s="58">
        <v>5</v>
      </c>
      <c r="QVZ73" s="58">
        <v>4</v>
      </c>
      <c r="QWA73" s="49">
        <f>INDEX($T$2:$T$11,MATCH(QVW73,$R$2:$R$11,0))</f>
        <v>0.37</v>
      </c>
      <c r="QWB73" s="49">
        <f t="shared" si="376"/>
        <v>50</v>
      </c>
      <c r="QWC73" s="57">
        <f t="shared" si="377"/>
        <v>18.5</v>
      </c>
      <c r="QWD73" s="59" t="s">
        <v>44</v>
      </c>
      <c r="QWE73" s="49" t="s">
        <v>44</v>
      </c>
      <c r="QWF73" s="51">
        <v>45117</v>
      </c>
      <c r="QWG73" s="49"/>
      <c r="QWH73" s="49" t="s">
        <v>43</v>
      </c>
      <c r="QWI73" s="49" t="s">
        <v>45</v>
      </c>
      <c r="QWJ73" s="49" t="s">
        <v>42</v>
      </c>
      <c r="QWK73" s="49" t="s">
        <v>0</v>
      </c>
      <c r="QWL73" s="49">
        <v>0</v>
      </c>
      <c r="QWM73" s="49">
        <v>1</v>
      </c>
      <c r="QWN73" s="58">
        <v>2.5</v>
      </c>
      <c r="QWO73" s="58">
        <v>5</v>
      </c>
      <c r="QWP73" s="58">
        <v>4</v>
      </c>
      <c r="QWQ73" s="49">
        <f>INDEX($T$2:$T$11,MATCH(QWM73,$R$2:$R$11,0))</f>
        <v>0.37</v>
      </c>
      <c r="QWR73" s="49">
        <f t="shared" ref="QWR73:QYN73" si="378">QWN73*QWO73*QWP73</f>
        <v>50</v>
      </c>
      <c r="QWS73" s="57">
        <f t="shared" ref="QWS73:QYO73" si="379">QWQ73*QWR73</f>
        <v>18.5</v>
      </c>
      <c r="QWT73" s="59" t="s">
        <v>44</v>
      </c>
      <c r="QWU73" s="49" t="s">
        <v>44</v>
      </c>
      <c r="QWV73" s="51">
        <v>45117</v>
      </c>
      <c r="QWW73" s="49"/>
      <c r="QWX73" s="49" t="s">
        <v>43</v>
      </c>
      <c r="QWY73" s="49" t="s">
        <v>45</v>
      </c>
      <c r="QWZ73" s="49" t="s">
        <v>42</v>
      </c>
      <c r="QXA73" s="49" t="s">
        <v>0</v>
      </c>
      <c r="QXB73" s="49">
        <v>0</v>
      </c>
      <c r="QXC73" s="49">
        <v>1</v>
      </c>
      <c r="QXD73" s="58">
        <v>2.5</v>
      </c>
      <c r="QXE73" s="58">
        <v>5</v>
      </c>
      <c r="QXF73" s="58">
        <v>4</v>
      </c>
      <c r="QXG73" s="49">
        <f>INDEX($T$2:$T$11,MATCH(QXC73,$R$2:$R$11,0))</f>
        <v>0.37</v>
      </c>
      <c r="QXH73" s="49">
        <f t="shared" si="378"/>
        <v>50</v>
      </c>
      <c r="QXI73" s="57">
        <f t="shared" si="379"/>
        <v>18.5</v>
      </c>
      <c r="QXJ73" s="59" t="s">
        <v>44</v>
      </c>
      <c r="QXK73" s="49" t="s">
        <v>44</v>
      </c>
      <c r="QXL73" s="51">
        <v>45117</v>
      </c>
      <c r="QXM73" s="49"/>
      <c r="QXN73" s="49" t="s">
        <v>43</v>
      </c>
      <c r="QXO73" s="49" t="s">
        <v>45</v>
      </c>
      <c r="QXP73" s="49" t="s">
        <v>42</v>
      </c>
      <c r="QXQ73" s="49" t="s">
        <v>0</v>
      </c>
      <c r="QXR73" s="49">
        <v>0</v>
      </c>
      <c r="QXS73" s="49">
        <v>1</v>
      </c>
      <c r="QXT73" s="58">
        <v>2.5</v>
      </c>
      <c r="QXU73" s="58">
        <v>5</v>
      </c>
      <c r="QXV73" s="58">
        <v>4</v>
      </c>
      <c r="QXW73" s="49">
        <f>INDEX($T$2:$T$11,MATCH(QXS73,$R$2:$R$11,0))</f>
        <v>0.37</v>
      </c>
      <c r="QXX73" s="49">
        <f t="shared" si="378"/>
        <v>50</v>
      </c>
      <c r="QXY73" s="57">
        <f t="shared" si="379"/>
        <v>18.5</v>
      </c>
      <c r="QXZ73" s="59" t="s">
        <v>44</v>
      </c>
      <c r="QYA73" s="49" t="s">
        <v>44</v>
      </c>
      <c r="QYB73" s="51">
        <v>45117</v>
      </c>
      <c r="QYC73" s="49"/>
      <c r="QYD73" s="49" t="s">
        <v>43</v>
      </c>
      <c r="QYE73" s="49" t="s">
        <v>45</v>
      </c>
      <c r="QYF73" s="49" t="s">
        <v>42</v>
      </c>
      <c r="QYG73" s="49" t="s">
        <v>0</v>
      </c>
      <c r="QYH73" s="49">
        <v>0</v>
      </c>
      <c r="QYI73" s="49">
        <v>1</v>
      </c>
      <c r="QYJ73" s="58">
        <v>2.5</v>
      </c>
      <c r="QYK73" s="58">
        <v>5</v>
      </c>
      <c r="QYL73" s="58">
        <v>4</v>
      </c>
      <c r="QYM73" s="49">
        <f>INDEX($T$2:$T$11,MATCH(QYI73,$R$2:$R$11,0))</f>
        <v>0.37</v>
      </c>
      <c r="QYN73" s="49">
        <f t="shared" si="378"/>
        <v>50</v>
      </c>
      <c r="QYO73" s="57">
        <f t="shared" si="379"/>
        <v>18.5</v>
      </c>
      <c r="QYP73" s="59" t="s">
        <v>44</v>
      </c>
      <c r="QYQ73" s="49" t="s">
        <v>44</v>
      </c>
      <c r="QYR73" s="51">
        <v>45117</v>
      </c>
      <c r="QYS73" s="49"/>
      <c r="QYT73" s="49" t="s">
        <v>43</v>
      </c>
      <c r="QYU73" s="49" t="s">
        <v>45</v>
      </c>
      <c r="QYV73" s="49" t="s">
        <v>42</v>
      </c>
      <c r="QYW73" s="49" t="s">
        <v>0</v>
      </c>
      <c r="QYX73" s="49">
        <v>0</v>
      </c>
      <c r="QYY73" s="49">
        <v>1</v>
      </c>
      <c r="QYZ73" s="58">
        <v>2.5</v>
      </c>
      <c r="QZA73" s="58">
        <v>5</v>
      </c>
      <c r="QZB73" s="58">
        <v>4</v>
      </c>
      <c r="QZC73" s="49">
        <f>INDEX($T$2:$T$11,MATCH(QYY73,$R$2:$R$11,0))</f>
        <v>0.37</v>
      </c>
      <c r="QZD73" s="49">
        <f t="shared" ref="QZD73:RAZ73" si="380">QYZ73*QZA73*QZB73</f>
        <v>50</v>
      </c>
      <c r="QZE73" s="57">
        <f t="shared" ref="QZE73:RBA73" si="381">QZC73*QZD73</f>
        <v>18.5</v>
      </c>
      <c r="QZF73" s="59" t="s">
        <v>44</v>
      </c>
      <c r="QZG73" s="49" t="s">
        <v>44</v>
      </c>
      <c r="QZH73" s="51">
        <v>45117</v>
      </c>
      <c r="QZI73" s="49"/>
      <c r="QZJ73" s="49" t="s">
        <v>43</v>
      </c>
      <c r="QZK73" s="49" t="s">
        <v>45</v>
      </c>
      <c r="QZL73" s="49" t="s">
        <v>42</v>
      </c>
      <c r="QZM73" s="49" t="s">
        <v>0</v>
      </c>
      <c r="QZN73" s="49">
        <v>0</v>
      </c>
      <c r="QZO73" s="49">
        <v>1</v>
      </c>
      <c r="QZP73" s="58">
        <v>2.5</v>
      </c>
      <c r="QZQ73" s="58">
        <v>5</v>
      </c>
      <c r="QZR73" s="58">
        <v>4</v>
      </c>
      <c r="QZS73" s="49">
        <f>INDEX($T$2:$T$11,MATCH(QZO73,$R$2:$R$11,0))</f>
        <v>0.37</v>
      </c>
      <c r="QZT73" s="49">
        <f t="shared" si="380"/>
        <v>50</v>
      </c>
      <c r="QZU73" s="57">
        <f t="shared" si="381"/>
        <v>18.5</v>
      </c>
      <c r="QZV73" s="59" t="s">
        <v>44</v>
      </c>
      <c r="QZW73" s="49" t="s">
        <v>44</v>
      </c>
      <c r="QZX73" s="51">
        <v>45117</v>
      </c>
      <c r="QZY73" s="49"/>
      <c r="QZZ73" s="49" t="s">
        <v>43</v>
      </c>
      <c r="RAA73" s="49" t="s">
        <v>45</v>
      </c>
      <c r="RAB73" s="49" t="s">
        <v>42</v>
      </c>
      <c r="RAC73" s="49" t="s">
        <v>0</v>
      </c>
      <c r="RAD73" s="49">
        <v>0</v>
      </c>
      <c r="RAE73" s="49">
        <v>1</v>
      </c>
      <c r="RAF73" s="58">
        <v>2.5</v>
      </c>
      <c r="RAG73" s="58">
        <v>5</v>
      </c>
      <c r="RAH73" s="58">
        <v>4</v>
      </c>
      <c r="RAI73" s="49">
        <f>INDEX($T$2:$T$11,MATCH(RAE73,$R$2:$R$11,0))</f>
        <v>0.37</v>
      </c>
      <c r="RAJ73" s="49">
        <f t="shared" si="380"/>
        <v>50</v>
      </c>
      <c r="RAK73" s="57">
        <f t="shared" si="381"/>
        <v>18.5</v>
      </c>
      <c r="RAL73" s="59" t="s">
        <v>44</v>
      </c>
      <c r="RAM73" s="49" t="s">
        <v>44</v>
      </c>
      <c r="RAN73" s="51">
        <v>45117</v>
      </c>
      <c r="RAO73" s="49"/>
      <c r="RAP73" s="49" t="s">
        <v>43</v>
      </c>
      <c r="RAQ73" s="49" t="s">
        <v>45</v>
      </c>
      <c r="RAR73" s="49" t="s">
        <v>42</v>
      </c>
      <c r="RAS73" s="49" t="s">
        <v>0</v>
      </c>
      <c r="RAT73" s="49">
        <v>0</v>
      </c>
      <c r="RAU73" s="49">
        <v>1</v>
      </c>
      <c r="RAV73" s="58">
        <v>2.5</v>
      </c>
      <c r="RAW73" s="58">
        <v>5</v>
      </c>
      <c r="RAX73" s="58">
        <v>4</v>
      </c>
      <c r="RAY73" s="49">
        <f>INDEX($T$2:$T$11,MATCH(RAU73,$R$2:$R$11,0))</f>
        <v>0.37</v>
      </c>
      <c r="RAZ73" s="49">
        <f t="shared" si="380"/>
        <v>50</v>
      </c>
      <c r="RBA73" s="57">
        <f t="shared" si="381"/>
        <v>18.5</v>
      </c>
      <c r="RBB73" s="59" t="s">
        <v>44</v>
      </c>
      <c r="RBC73" s="49" t="s">
        <v>44</v>
      </c>
      <c r="RBD73" s="51">
        <v>45117</v>
      </c>
      <c r="RBE73" s="49"/>
      <c r="RBF73" s="49" t="s">
        <v>43</v>
      </c>
      <c r="RBG73" s="49" t="s">
        <v>45</v>
      </c>
      <c r="RBH73" s="49" t="s">
        <v>42</v>
      </c>
      <c r="RBI73" s="49" t="s">
        <v>0</v>
      </c>
      <c r="RBJ73" s="49">
        <v>0</v>
      </c>
      <c r="RBK73" s="49">
        <v>1</v>
      </c>
      <c r="RBL73" s="58">
        <v>2.5</v>
      </c>
      <c r="RBM73" s="58">
        <v>5</v>
      </c>
      <c r="RBN73" s="58">
        <v>4</v>
      </c>
      <c r="RBO73" s="49">
        <f>INDEX($T$2:$T$11,MATCH(RBK73,$R$2:$R$11,0))</f>
        <v>0.37</v>
      </c>
      <c r="RBP73" s="49">
        <f t="shared" ref="RBP73:RDL73" si="382">RBL73*RBM73*RBN73</f>
        <v>50</v>
      </c>
      <c r="RBQ73" s="57">
        <f t="shared" ref="RBQ73:RDM73" si="383">RBO73*RBP73</f>
        <v>18.5</v>
      </c>
      <c r="RBR73" s="59" t="s">
        <v>44</v>
      </c>
      <c r="RBS73" s="49" t="s">
        <v>44</v>
      </c>
      <c r="RBT73" s="51">
        <v>45117</v>
      </c>
      <c r="RBU73" s="49"/>
      <c r="RBV73" s="49" t="s">
        <v>43</v>
      </c>
      <c r="RBW73" s="49" t="s">
        <v>45</v>
      </c>
      <c r="RBX73" s="49" t="s">
        <v>42</v>
      </c>
      <c r="RBY73" s="49" t="s">
        <v>0</v>
      </c>
      <c r="RBZ73" s="49">
        <v>0</v>
      </c>
      <c r="RCA73" s="49">
        <v>1</v>
      </c>
      <c r="RCB73" s="58">
        <v>2.5</v>
      </c>
      <c r="RCC73" s="58">
        <v>5</v>
      </c>
      <c r="RCD73" s="58">
        <v>4</v>
      </c>
      <c r="RCE73" s="49">
        <f>INDEX($T$2:$T$11,MATCH(RCA73,$R$2:$R$11,0))</f>
        <v>0.37</v>
      </c>
      <c r="RCF73" s="49">
        <f t="shared" si="382"/>
        <v>50</v>
      </c>
      <c r="RCG73" s="57">
        <f t="shared" si="383"/>
        <v>18.5</v>
      </c>
      <c r="RCH73" s="59" t="s">
        <v>44</v>
      </c>
      <c r="RCI73" s="49" t="s">
        <v>44</v>
      </c>
      <c r="RCJ73" s="51">
        <v>45117</v>
      </c>
      <c r="RCK73" s="49"/>
      <c r="RCL73" s="49" t="s">
        <v>43</v>
      </c>
      <c r="RCM73" s="49" t="s">
        <v>45</v>
      </c>
      <c r="RCN73" s="49" t="s">
        <v>42</v>
      </c>
      <c r="RCO73" s="49" t="s">
        <v>0</v>
      </c>
      <c r="RCP73" s="49">
        <v>0</v>
      </c>
      <c r="RCQ73" s="49">
        <v>1</v>
      </c>
      <c r="RCR73" s="58">
        <v>2.5</v>
      </c>
      <c r="RCS73" s="58">
        <v>5</v>
      </c>
      <c r="RCT73" s="58">
        <v>4</v>
      </c>
      <c r="RCU73" s="49">
        <f>INDEX($T$2:$T$11,MATCH(RCQ73,$R$2:$R$11,0))</f>
        <v>0.37</v>
      </c>
      <c r="RCV73" s="49">
        <f t="shared" si="382"/>
        <v>50</v>
      </c>
      <c r="RCW73" s="57">
        <f t="shared" si="383"/>
        <v>18.5</v>
      </c>
      <c r="RCX73" s="59" t="s">
        <v>44</v>
      </c>
      <c r="RCY73" s="49" t="s">
        <v>44</v>
      </c>
      <c r="RCZ73" s="51">
        <v>45117</v>
      </c>
      <c r="RDA73" s="49"/>
      <c r="RDB73" s="49" t="s">
        <v>43</v>
      </c>
      <c r="RDC73" s="49" t="s">
        <v>45</v>
      </c>
      <c r="RDD73" s="49" t="s">
        <v>42</v>
      </c>
      <c r="RDE73" s="49" t="s">
        <v>0</v>
      </c>
      <c r="RDF73" s="49">
        <v>0</v>
      </c>
      <c r="RDG73" s="49">
        <v>1</v>
      </c>
      <c r="RDH73" s="58">
        <v>2.5</v>
      </c>
      <c r="RDI73" s="58">
        <v>5</v>
      </c>
      <c r="RDJ73" s="58">
        <v>4</v>
      </c>
      <c r="RDK73" s="49">
        <f>INDEX($T$2:$T$11,MATCH(RDG73,$R$2:$R$11,0))</f>
        <v>0.37</v>
      </c>
      <c r="RDL73" s="49">
        <f t="shared" si="382"/>
        <v>50</v>
      </c>
      <c r="RDM73" s="57">
        <f t="shared" si="383"/>
        <v>18.5</v>
      </c>
      <c r="RDN73" s="59" t="s">
        <v>44</v>
      </c>
      <c r="RDO73" s="49" t="s">
        <v>44</v>
      </c>
      <c r="RDP73" s="51">
        <v>45117</v>
      </c>
      <c r="RDQ73" s="49"/>
      <c r="RDR73" s="49" t="s">
        <v>43</v>
      </c>
      <c r="RDS73" s="49" t="s">
        <v>45</v>
      </c>
      <c r="RDT73" s="49" t="s">
        <v>42</v>
      </c>
      <c r="RDU73" s="49" t="s">
        <v>0</v>
      </c>
      <c r="RDV73" s="49">
        <v>0</v>
      </c>
      <c r="RDW73" s="49">
        <v>1</v>
      </c>
      <c r="RDX73" s="58">
        <v>2.5</v>
      </c>
      <c r="RDY73" s="58">
        <v>5</v>
      </c>
      <c r="RDZ73" s="58">
        <v>4</v>
      </c>
      <c r="REA73" s="49">
        <f>INDEX($T$2:$T$11,MATCH(RDW73,$R$2:$R$11,0))</f>
        <v>0.37</v>
      </c>
      <c r="REB73" s="49">
        <f t="shared" ref="REB73:RFX73" si="384">RDX73*RDY73*RDZ73</f>
        <v>50</v>
      </c>
      <c r="REC73" s="57">
        <f t="shared" ref="REC73:RFY73" si="385">REA73*REB73</f>
        <v>18.5</v>
      </c>
      <c r="RED73" s="59" t="s">
        <v>44</v>
      </c>
      <c r="REE73" s="49" t="s">
        <v>44</v>
      </c>
      <c r="REF73" s="51">
        <v>45117</v>
      </c>
      <c r="REG73" s="49"/>
      <c r="REH73" s="49" t="s">
        <v>43</v>
      </c>
      <c r="REI73" s="49" t="s">
        <v>45</v>
      </c>
      <c r="REJ73" s="49" t="s">
        <v>42</v>
      </c>
      <c r="REK73" s="49" t="s">
        <v>0</v>
      </c>
      <c r="REL73" s="49">
        <v>0</v>
      </c>
      <c r="REM73" s="49">
        <v>1</v>
      </c>
      <c r="REN73" s="58">
        <v>2.5</v>
      </c>
      <c r="REO73" s="58">
        <v>5</v>
      </c>
      <c r="REP73" s="58">
        <v>4</v>
      </c>
      <c r="REQ73" s="49">
        <f>INDEX($T$2:$T$11,MATCH(REM73,$R$2:$R$11,0))</f>
        <v>0.37</v>
      </c>
      <c r="RER73" s="49">
        <f t="shared" si="384"/>
        <v>50</v>
      </c>
      <c r="RES73" s="57">
        <f t="shared" si="385"/>
        <v>18.5</v>
      </c>
      <c r="RET73" s="59" t="s">
        <v>44</v>
      </c>
      <c r="REU73" s="49" t="s">
        <v>44</v>
      </c>
      <c r="REV73" s="51">
        <v>45117</v>
      </c>
      <c r="REW73" s="49"/>
      <c r="REX73" s="49" t="s">
        <v>43</v>
      </c>
      <c r="REY73" s="49" t="s">
        <v>45</v>
      </c>
      <c r="REZ73" s="49" t="s">
        <v>42</v>
      </c>
      <c r="RFA73" s="49" t="s">
        <v>0</v>
      </c>
      <c r="RFB73" s="49">
        <v>0</v>
      </c>
      <c r="RFC73" s="49">
        <v>1</v>
      </c>
      <c r="RFD73" s="58">
        <v>2.5</v>
      </c>
      <c r="RFE73" s="58">
        <v>5</v>
      </c>
      <c r="RFF73" s="58">
        <v>4</v>
      </c>
      <c r="RFG73" s="49">
        <f>INDEX($T$2:$T$11,MATCH(RFC73,$R$2:$R$11,0))</f>
        <v>0.37</v>
      </c>
      <c r="RFH73" s="49">
        <f t="shared" si="384"/>
        <v>50</v>
      </c>
      <c r="RFI73" s="57">
        <f t="shared" si="385"/>
        <v>18.5</v>
      </c>
      <c r="RFJ73" s="59" t="s">
        <v>44</v>
      </c>
      <c r="RFK73" s="49" t="s">
        <v>44</v>
      </c>
      <c r="RFL73" s="51">
        <v>45117</v>
      </c>
      <c r="RFM73" s="49"/>
      <c r="RFN73" s="49" t="s">
        <v>43</v>
      </c>
      <c r="RFO73" s="49" t="s">
        <v>45</v>
      </c>
      <c r="RFP73" s="49" t="s">
        <v>42</v>
      </c>
      <c r="RFQ73" s="49" t="s">
        <v>0</v>
      </c>
      <c r="RFR73" s="49">
        <v>0</v>
      </c>
      <c r="RFS73" s="49">
        <v>1</v>
      </c>
      <c r="RFT73" s="58">
        <v>2.5</v>
      </c>
      <c r="RFU73" s="58">
        <v>5</v>
      </c>
      <c r="RFV73" s="58">
        <v>4</v>
      </c>
      <c r="RFW73" s="49">
        <f>INDEX($T$2:$T$11,MATCH(RFS73,$R$2:$R$11,0))</f>
        <v>0.37</v>
      </c>
      <c r="RFX73" s="49">
        <f t="shared" si="384"/>
        <v>50</v>
      </c>
      <c r="RFY73" s="57">
        <f t="shared" si="385"/>
        <v>18.5</v>
      </c>
      <c r="RFZ73" s="59" t="s">
        <v>44</v>
      </c>
      <c r="RGA73" s="49" t="s">
        <v>44</v>
      </c>
      <c r="RGB73" s="51">
        <v>45117</v>
      </c>
      <c r="RGC73" s="49"/>
      <c r="RGD73" s="49" t="s">
        <v>43</v>
      </c>
      <c r="RGE73" s="49" t="s">
        <v>45</v>
      </c>
      <c r="RGF73" s="49" t="s">
        <v>42</v>
      </c>
      <c r="RGG73" s="49" t="s">
        <v>0</v>
      </c>
      <c r="RGH73" s="49">
        <v>0</v>
      </c>
      <c r="RGI73" s="49">
        <v>1</v>
      </c>
      <c r="RGJ73" s="58">
        <v>2.5</v>
      </c>
      <c r="RGK73" s="58">
        <v>5</v>
      </c>
      <c r="RGL73" s="58">
        <v>4</v>
      </c>
      <c r="RGM73" s="49">
        <f>INDEX($T$2:$T$11,MATCH(RGI73,$R$2:$R$11,0))</f>
        <v>0.37</v>
      </c>
      <c r="RGN73" s="49">
        <f t="shared" ref="RGN73:RIJ73" si="386">RGJ73*RGK73*RGL73</f>
        <v>50</v>
      </c>
      <c r="RGO73" s="57">
        <f t="shared" ref="RGO73:RIK73" si="387">RGM73*RGN73</f>
        <v>18.5</v>
      </c>
      <c r="RGP73" s="59" t="s">
        <v>44</v>
      </c>
      <c r="RGQ73" s="49" t="s">
        <v>44</v>
      </c>
      <c r="RGR73" s="51">
        <v>45117</v>
      </c>
      <c r="RGS73" s="49"/>
      <c r="RGT73" s="49" t="s">
        <v>43</v>
      </c>
      <c r="RGU73" s="49" t="s">
        <v>45</v>
      </c>
      <c r="RGV73" s="49" t="s">
        <v>42</v>
      </c>
      <c r="RGW73" s="49" t="s">
        <v>0</v>
      </c>
      <c r="RGX73" s="49">
        <v>0</v>
      </c>
      <c r="RGY73" s="49">
        <v>1</v>
      </c>
      <c r="RGZ73" s="58">
        <v>2.5</v>
      </c>
      <c r="RHA73" s="58">
        <v>5</v>
      </c>
      <c r="RHB73" s="58">
        <v>4</v>
      </c>
      <c r="RHC73" s="49">
        <f>INDEX($T$2:$T$11,MATCH(RGY73,$R$2:$R$11,0))</f>
        <v>0.37</v>
      </c>
      <c r="RHD73" s="49">
        <f t="shared" si="386"/>
        <v>50</v>
      </c>
      <c r="RHE73" s="57">
        <f t="shared" si="387"/>
        <v>18.5</v>
      </c>
      <c r="RHF73" s="59" t="s">
        <v>44</v>
      </c>
      <c r="RHG73" s="49" t="s">
        <v>44</v>
      </c>
      <c r="RHH73" s="51">
        <v>45117</v>
      </c>
      <c r="RHI73" s="49"/>
      <c r="RHJ73" s="49" t="s">
        <v>43</v>
      </c>
      <c r="RHK73" s="49" t="s">
        <v>45</v>
      </c>
      <c r="RHL73" s="49" t="s">
        <v>42</v>
      </c>
      <c r="RHM73" s="49" t="s">
        <v>0</v>
      </c>
      <c r="RHN73" s="49">
        <v>0</v>
      </c>
      <c r="RHO73" s="49">
        <v>1</v>
      </c>
      <c r="RHP73" s="58">
        <v>2.5</v>
      </c>
      <c r="RHQ73" s="58">
        <v>5</v>
      </c>
      <c r="RHR73" s="58">
        <v>4</v>
      </c>
      <c r="RHS73" s="49">
        <f>INDEX($T$2:$T$11,MATCH(RHO73,$R$2:$R$11,0))</f>
        <v>0.37</v>
      </c>
      <c r="RHT73" s="49">
        <f t="shared" si="386"/>
        <v>50</v>
      </c>
      <c r="RHU73" s="57">
        <f t="shared" si="387"/>
        <v>18.5</v>
      </c>
      <c r="RHV73" s="59" t="s">
        <v>44</v>
      </c>
      <c r="RHW73" s="49" t="s">
        <v>44</v>
      </c>
      <c r="RHX73" s="51">
        <v>45117</v>
      </c>
      <c r="RHY73" s="49"/>
      <c r="RHZ73" s="49" t="s">
        <v>43</v>
      </c>
      <c r="RIA73" s="49" t="s">
        <v>45</v>
      </c>
      <c r="RIB73" s="49" t="s">
        <v>42</v>
      </c>
      <c r="RIC73" s="49" t="s">
        <v>0</v>
      </c>
      <c r="RID73" s="49">
        <v>0</v>
      </c>
      <c r="RIE73" s="49">
        <v>1</v>
      </c>
      <c r="RIF73" s="58">
        <v>2.5</v>
      </c>
      <c r="RIG73" s="58">
        <v>5</v>
      </c>
      <c r="RIH73" s="58">
        <v>4</v>
      </c>
      <c r="RII73" s="49">
        <f>INDEX($T$2:$T$11,MATCH(RIE73,$R$2:$R$11,0))</f>
        <v>0.37</v>
      </c>
      <c r="RIJ73" s="49">
        <f t="shared" si="386"/>
        <v>50</v>
      </c>
      <c r="RIK73" s="57">
        <f t="shared" si="387"/>
        <v>18.5</v>
      </c>
      <c r="RIL73" s="59" t="s">
        <v>44</v>
      </c>
      <c r="RIM73" s="49" t="s">
        <v>44</v>
      </c>
      <c r="RIN73" s="51">
        <v>45117</v>
      </c>
      <c r="RIO73" s="49"/>
      <c r="RIP73" s="49" t="s">
        <v>43</v>
      </c>
      <c r="RIQ73" s="49" t="s">
        <v>45</v>
      </c>
      <c r="RIR73" s="49" t="s">
        <v>42</v>
      </c>
      <c r="RIS73" s="49" t="s">
        <v>0</v>
      </c>
      <c r="RIT73" s="49">
        <v>0</v>
      </c>
      <c r="RIU73" s="49">
        <v>1</v>
      </c>
      <c r="RIV73" s="58">
        <v>2.5</v>
      </c>
      <c r="RIW73" s="58">
        <v>5</v>
      </c>
      <c r="RIX73" s="58">
        <v>4</v>
      </c>
      <c r="RIY73" s="49">
        <f>INDEX($T$2:$T$11,MATCH(RIU73,$R$2:$R$11,0))</f>
        <v>0.37</v>
      </c>
      <c r="RIZ73" s="49">
        <f t="shared" ref="RIZ73:RKV73" si="388">RIV73*RIW73*RIX73</f>
        <v>50</v>
      </c>
      <c r="RJA73" s="57">
        <f t="shared" ref="RJA73:RKW73" si="389">RIY73*RIZ73</f>
        <v>18.5</v>
      </c>
      <c r="RJB73" s="59" t="s">
        <v>44</v>
      </c>
      <c r="RJC73" s="49" t="s">
        <v>44</v>
      </c>
      <c r="RJD73" s="51">
        <v>45117</v>
      </c>
      <c r="RJE73" s="49"/>
      <c r="RJF73" s="49" t="s">
        <v>43</v>
      </c>
      <c r="RJG73" s="49" t="s">
        <v>45</v>
      </c>
      <c r="RJH73" s="49" t="s">
        <v>42</v>
      </c>
      <c r="RJI73" s="49" t="s">
        <v>0</v>
      </c>
      <c r="RJJ73" s="49">
        <v>0</v>
      </c>
      <c r="RJK73" s="49">
        <v>1</v>
      </c>
      <c r="RJL73" s="58">
        <v>2.5</v>
      </c>
      <c r="RJM73" s="58">
        <v>5</v>
      </c>
      <c r="RJN73" s="58">
        <v>4</v>
      </c>
      <c r="RJO73" s="49">
        <f>INDEX($T$2:$T$11,MATCH(RJK73,$R$2:$R$11,0))</f>
        <v>0.37</v>
      </c>
      <c r="RJP73" s="49">
        <f t="shared" si="388"/>
        <v>50</v>
      </c>
      <c r="RJQ73" s="57">
        <f t="shared" si="389"/>
        <v>18.5</v>
      </c>
      <c r="RJR73" s="59" t="s">
        <v>44</v>
      </c>
      <c r="RJS73" s="49" t="s">
        <v>44</v>
      </c>
      <c r="RJT73" s="51">
        <v>45117</v>
      </c>
      <c r="RJU73" s="49"/>
      <c r="RJV73" s="49" t="s">
        <v>43</v>
      </c>
      <c r="RJW73" s="49" t="s">
        <v>45</v>
      </c>
      <c r="RJX73" s="49" t="s">
        <v>42</v>
      </c>
      <c r="RJY73" s="49" t="s">
        <v>0</v>
      </c>
      <c r="RJZ73" s="49">
        <v>0</v>
      </c>
      <c r="RKA73" s="49">
        <v>1</v>
      </c>
      <c r="RKB73" s="58">
        <v>2.5</v>
      </c>
      <c r="RKC73" s="58">
        <v>5</v>
      </c>
      <c r="RKD73" s="58">
        <v>4</v>
      </c>
      <c r="RKE73" s="49">
        <f>INDEX($T$2:$T$11,MATCH(RKA73,$R$2:$R$11,0))</f>
        <v>0.37</v>
      </c>
      <c r="RKF73" s="49">
        <f t="shared" si="388"/>
        <v>50</v>
      </c>
      <c r="RKG73" s="57">
        <f t="shared" si="389"/>
        <v>18.5</v>
      </c>
      <c r="RKH73" s="59" t="s">
        <v>44</v>
      </c>
      <c r="RKI73" s="49" t="s">
        <v>44</v>
      </c>
      <c r="RKJ73" s="51">
        <v>45117</v>
      </c>
      <c r="RKK73" s="49"/>
      <c r="RKL73" s="49" t="s">
        <v>43</v>
      </c>
      <c r="RKM73" s="49" t="s">
        <v>45</v>
      </c>
      <c r="RKN73" s="49" t="s">
        <v>42</v>
      </c>
      <c r="RKO73" s="49" t="s">
        <v>0</v>
      </c>
      <c r="RKP73" s="49">
        <v>0</v>
      </c>
      <c r="RKQ73" s="49">
        <v>1</v>
      </c>
      <c r="RKR73" s="58">
        <v>2.5</v>
      </c>
      <c r="RKS73" s="58">
        <v>5</v>
      </c>
      <c r="RKT73" s="58">
        <v>4</v>
      </c>
      <c r="RKU73" s="49">
        <f>INDEX($T$2:$T$11,MATCH(RKQ73,$R$2:$R$11,0))</f>
        <v>0.37</v>
      </c>
      <c r="RKV73" s="49">
        <f t="shared" si="388"/>
        <v>50</v>
      </c>
      <c r="RKW73" s="57">
        <f t="shared" si="389"/>
        <v>18.5</v>
      </c>
      <c r="RKX73" s="59" t="s">
        <v>44</v>
      </c>
      <c r="RKY73" s="49" t="s">
        <v>44</v>
      </c>
      <c r="RKZ73" s="51">
        <v>45117</v>
      </c>
      <c r="RLA73" s="49"/>
      <c r="RLB73" s="49" t="s">
        <v>43</v>
      </c>
      <c r="RLC73" s="49" t="s">
        <v>45</v>
      </c>
      <c r="RLD73" s="49" t="s">
        <v>42</v>
      </c>
      <c r="RLE73" s="49" t="s">
        <v>0</v>
      </c>
      <c r="RLF73" s="49">
        <v>0</v>
      </c>
      <c r="RLG73" s="49">
        <v>1</v>
      </c>
      <c r="RLH73" s="58">
        <v>2.5</v>
      </c>
      <c r="RLI73" s="58">
        <v>5</v>
      </c>
      <c r="RLJ73" s="58">
        <v>4</v>
      </c>
      <c r="RLK73" s="49">
        <f>INDEX($T$2:$T$11,MATCH(RLG73,$R$2:$R$11,0))</f>
        <v>0.37</v>
      </c>
      <c r="RLL73" s="49">
        <f t="shared" ref="RLL73:RNH73" si="390">RLH73*RLI73*RLJ73</f>
        <v>50</v>
      </c>
      <c r="RLM73" s="57">
        <f t="shared" ref="RLM73:RNI73" si="391">RLK73*RLL73</f>
        <v>18.5</v>
      </c>
      <c r="RLN73" s="59" t="s">
        <v>44</v>
      </c>
      <c r="RLO73" s="49" t="s">
        <v>44</v>
      </c>
      <c r="RLP73" s="51">
        <v>45117</v>
      </c>
      <c r="RLQ73" s="49"/>
      <c r="RLR73" s="49" t="s">
        <v>43</v>
      </c>
      <c r="RLS73" s="49" t="s">
        <v>45</v>
      </c>
      <c r="RLT73" s="49" t="s">
        <v>42</v>
      </c>
      <c r="RLU73" s="49" t="s">
        <v>0</v>
      </c>
      <c r="RLV73" s="49">
        <v>0</v>
      </c>
      <c r="RLW73" s="49">
        <v>1</v>
      </c>
      <c r="RLX73" s="58">
        <v>2.5</v>
      </c>
      <c r="RLY73" s="58">
        <v>5</v>
      </c>
      <c r="RLZ73" s="58">
        <v>4</v>
      </c>
      <c r="RMA73" s="49">
        <f>INDEX($T$2:$T$11,MATCH(RLW73,$R$2:$R$11,0))</f>
        <v>0.37</v>
      </c>
      <c r="RMB73" s="49">
        <f t="shared" si="390"/>
        <v>50</v>
      </c>
      <c r="RMC73" s="57">
        <f t="shared" si="391"/>
        <v>18.5</v>
      </c>
      <c r="RMD73" s="59" t="s">
        <v>44</v>
      </c>
      <c r="RME73" s="49" t="s">
        <v>44</v>
      </c>
      <c r="RMF73" s="51">
        <v>45117</v>
      </c>
      <c r="RMG73" s="49"/>
      <c r="RMH73" s="49" t="s">
        <v>43</v>
      </c>
      <c r="RMI73" s="49" t="s">
        <v>45</v>
      </c>
      <c r="RMJ73" s="49" t="s">
        <v>42</v>
      </c>
      <c r="RMK73" s="49" t="s">
        <v>0</v>
      </c>
      <c r="RML73" s="49">
        <v>0</v>
      </c>
      <c r="RMM73" s="49">
        <v>1</v>
      </c>
      <c r="RMN73" s="58">
        <v>2.5</v>
      </c>
      <c r="RMO73" s="58">
        <v>5</v>
      </c>
      <c r="RMP73" s="58">
        <v>4</v>
      </c>
      <c r="RMQ73" s="49">
        <f>INDEX($T$2:$T$11,MATCH(RMM73,$R$2:$R$11,0))</f>
        <v>0.37</v>
      </c>
      <c r="RMR73" s="49">
        <f t="shared" si="390"/>
        <v>50</v>
      </c>
      <c r="RMS73" s="57">
        <f t="shared" si="391"/>
        <v>18.5</v>
      </c>
      <c r="RMT73" s="59" t="s">
        <v>44</v>
      </c>
      <c r="RMU73" s="49" t="s">
        <v>44</v>
      </c>
      <c r="RMV73" s="51">
        <v>45117</v>
      </c>
      <c r="RMW73" s="49"/>
      <c r="RMX73" s="49" t="s">
        <v>43</v>
      </c>
      <c r="RMY73" s="49" t="s">
        <v>45</v>
      </c>
      <c r="RMZ73" s="49" t="s">
        <v>42</v>
      </c>
      <c r="RNA73" s="49" t="s">
        <v>0</v>
      </c>
      <c r="RNB73" s="49">
        <v>0</v>
      </c>
      <c r="RNC73" s="49">
        <v>1</v>
      </c>
      <c r="RND73" s="58">
        <v>2.5</v>
      </c>
      <c r="RNE73" s="58">
        <v>5</v>
      </c>
      <c r="RNF73" s="58">
        <v>4</v>
      </c>
      <c r="RNG73" s="49">
        <f>INDEX($T$2:$T$11,MATCH(RNC73,$R$2:$R$11,0))</f>
        <v>0.37</v>
      </c>
      <c r="RNH73" s="49">
        <f t="shared" si="390"/>
        <v>50</v>
      </c>
      <c r="RNI73" s="57">
        <f t="shared" si="391"/>
        <v>18.5</v>
      </c>
      <c r="RNJ73" s="59" t="s">
        <v>44</v>
      </c>
      <c r="RNK73" s="49" t="s">
        <v>44</v>
      </c>
      <c r="RNL73" s="51">
        <v>45117</v>
      </c>
      <c r="RNM73" s="49"/>
      <c r="RNN73" s="49" t="s">
        <v>43</v>
      </c>
      <c r="RNO73" s="49" t="s">
        <v>45</v>
      </c>
      <c r="RNP73" s="49" t="s">
        <v>42</v>
      </c>
      <c r="RNQ73" s="49" t="s">
        <v>0</v>
      </c>
      <c r="RNR73" s="49">
        <v>0</v>
      </c>
      <c r="RNS73" s="49">
        <v>1</v>
      </c>
      <c r="RNT73" s="58">
        <v>2.5</v>
      </c>
      <c r="RNU73" s="58">
        <v>5</v>
      </c>
      <c r="RNV73" s="58">
        <v>4</v>
      </c>
      <c r="RNW73" s="49">
        <f>INDEX($T$2:$T$11,MATCH(RNS73,$R$2:$R$11,0))</f>
        <v>0.37</v>
      </c>
      <c r="RNX73" s="49">
        <f t="shared" ref="RNX73:RPT73" si="392">RNT73*RNU73*RNV73</f>
        <v>50</v>
      </c>
      <c r="RNY73" s="57">
        <f t="shared" ref="RNY73:RPU73" si="393">RNW73*RNX73</f>
        <v>18.5</v>
      </c>
      <c r="RNZ73" s="59" t="s">
        <v>44</v>
      </c>
      <c r="ROA73" s="49" t="s">
        <v>44</v>
      </c>
      <c r="ROB73" s="51">
        <v>45117</v>
      </c>
      <c r="ROC73" s="49"/>
      <c r="ROD73" s="49" t="s">
        <v>43</v>
      </c>
      <c r="ROE73" s="49" t="s">
        <v>45</v>
      </c>
      <c r="ROF73" s="49" t="s">
        <v>42</v>
      </c>
      <c r="ROG73" s="49" t="s">
        <v>0</v>
      </c>
      <c r="ROH73" s="49">
        <v>0</v>
      </c>
      <c r="ROI73" s="49">
        <v>1</v>
      </c>
      <c r="ROJ73" s="58">
        <v>2.5</v>
      </c>
      <c r="ROK73" s="58">
        <v>5</v>
      </c>
      <c r="ROL73" s="58">
        <v>4</v>
      </c>
      <c r="ROM73" s="49">
        <f>INDEX($T$2:$T$11,MATCH(ROI73,$R$2:$R$11,0))</f>
        <v>0.37</v>
      </c>
      <c r="RON73" s="49">
        <f t="shared" si="392"/>
        <v>50</v>
      </c>
      <c r="ROO73" s="57">
        <f t="shared" si="393"/>
        <v>18.5</v>
      </c>
      <c r="ROP73" s="59" t="s">
        <v>44</v>
      </c>
      <c r="ROQ73" s="49" t="s">
        <v>44</v>
      </c>
      <c r="ROR73" s="51">
        <v>45117</v>
      </c>
      <c r="ROS73" s="49"/>
      <c r="ROT73" s="49" t="s">
        <v>43</v>
      </c>
      <c r="ROU73" s="49" t="s">
        <v>45</v>
      </c>
      <c r="ROV73" s="49" t="s">
        <v>42</v>
      </c>
      <c r="ROW73" s="49" t="s">
        <v>0</v>
      </c>
      <c r="ROX73" s="49">
        <v>0</v>
      </c>
      <c r="ROY73" s="49">
        <v>1</v>
      </c>
      <c r="ROZ73" s="58">
        <v>2.5</v>
      </c>
      <c r="RPA73" s="58">
        <v>5</v>
      </c>
      <c r="RPB73" s="58">
        <v>4</v>
      </c>
      <c r="RPC73" s="49">
        <f>INDEX($T$2:$T$11,MATCH(ROY73,$R$2:$R$11,0))</f>
        <v>0.37</v>
      </c>
      <c r="RPD73" s="49">
        <f t="shared" si="392"/>
        <v>50</v>
      </c>
      <c r="RPE73" s="57">
        <f t="shared" si="393"/>
        <v>18.5</v>
      </c>
      <c r="RPF73" s="59" t="s">
        <v>44</v>
      </c>
      <c r="RPG73" s="49" t="s">
        <v>44</v>
      </c>
      <c r="RPH73" s="51">
        <v>45117</v>
      </c>
      <c r="RPI73" s="49"/>
      <c r="RPJ73" s="49" t="s">
        <v>43</v>
      </c>
      <c r="RPK73" s="49" t="s">
        <v>45</v>
      </c>
      <c r="RPL73" s="49" t="s">
        <v>42</v>
      </c>
      <c r="RPM73" s="49" t="s">
        <v>0</v>
      </c>
      <c r="RPN73" s="49">
        <v>0</v>
      </c>
      <c r="RPO73" s="49">
        <v>1</v>
      </c>
      <c r="RPP73" s="58">
        <v>2.5</v>
      </c>
      <c r="RPQ73" s="58">
        <v>5</v>
      </c>
      <c r="RPR73" s="58">
        <v>4</v>
      </c>
      <c r="RPS73" s="49">
        <f>INDEX($T$2:$T$11,MATCH(RPO73,$R$2:$R$11,0))</f>
        <v>0.37</v>
      </c>
      <c r="RPT73" s="49">
        <f t="shared" si="392"/>
        <v>50</v>
      </c>
      <c r="RPU73" s="57">
        <f t="shared" si="393"/>
        <v>18.5</v>
      </c>
      <c r="RPV73" s="59" t="s">
        <v>44</v>
      </c>
      <c r="RPW73" s="49" t="s">
        <v>44</v>
      </c>
      <c r="RPX73" s="51">
        <v>45117</v>
      </c>
      <c r="RPY73" s="49"/>
      <c r="RPZ73" s="49" t="s">
        <v>43</v>
      </c>
      <c r="RQA73" s="49" t="s">
        <v>45</v>
      </c>
      <c r="RQB73" s="49" t="s">
        <v>42</v>
      </c>
      <c r="RQC73" s="49" t="s">
        <v>0</v>
      </c>
      <c r="RQD73" s="49">
        <v>0</v>
      </c>
      <c r="RQE73" s="49">
        <v>1</v>
      </c>
      <c r="RQF73" s="58">
        <v>2.5</v>
      </c>
      <c r="RQG73" s="58">
        <v>5</v>
      </c>
      <c r="RQH73" s="58">
        <v>4</v>
      </c>
      <c r="RQI73" s="49">
        <f>INDEX($T$2:$T$11,MATCH(RQE73,$R$2:$R$11,0))</f>
        <v>0.37</v>
      </c>
      <c r="RQJ73" s="49">
        <f t="shared" ref="RQJ73:RSF73" si="394">RQF73*RQG73*RQH73</f>
        <v>50</v>
      </c>
      <c r="RQK73" s="57">
        <f t="shared" ref="RQK73:RSG73" si="395">RQI73*RQJ73</f>
        <v>18.5</v>
      </c>
      <c r="RQL73" s="59" t="s">
        <v>44</v>
      </c>
      <c r="RQM73" s="49" t="s">
        <v>44</v>
      </c>
      <c r="RQN73" s="51">
        <v>45117</v>
      </c>
      <c r="RQO73" s="49"/>
      <c r="RQP73" s="49" t="s">
        <v>43</v>
      </c>
      <c r="RQQ73" s="49" t="s">
        <v>45</v>
      </c>
      <c r="RQR73" s="49" t="s">
        <v>42</v>
      </c>
      <c r="RQS73" s="49" t="s">
        <v>0</v>
      </c>
      <c r="RQT73" s="49">
        <v>0</v>
      </c>
      <c r="RQU73" s="49">
        <v>1</v>
      </c>
      <c r="RQV73" s="58">
        <v>2.5</v>
      </c>
      <c r="RQW73" s="58">
        <v>5</v>
      </c>
      <c r="RQX73" s="58">
        <v>4</v>
      </c>
      <c r="RQY73" s="49">
        <f>INDEX($T$2:$T$11,MATCH(RQU73,$R$2:$R$11,0))</f>
        <v>0.37</v>
      </c>
      <c r="RQZ73" s="49">
        <f t="shared" si="394"/>
        <v>50</v>
      </c>
      <c r="RRA73" s="57">
        <f t="shared" si="395"/>
        <v>18.5</v>
      </c>
      <c r="RRB73" s="59" t="s">
        <v>44</v>
      </c>
      <c r="RRC73" s="49" t="s">
        <v>44</v>
      </c>
      <c r="RRD73" s="51">
        <v>45117</v>
      </c>
      <c r="RRE73" s="49"/>
      <c r="RRF73" s="49" t="s">
        <v>43</v>
      </c>
      <c r="RRG73" s="49" t="s">
        <v>45</v>
      </c>
      <c r="RRH73" s="49" t="s">
        <v>42</v>
      </c>
      <c r="RRI73" s="49" t="s">
        <v>0</v>
      </c>
      <c r="RRJ73" s="49">
        <v>0</v>
      </c>
      <c r="RRK73" s="49">
        <v>1</v>
      </c>
      <c r="RRL73" s="58">
        <v>2.5</v>
      </c>
      <c r="RRM73" s="58">
        <v>5</v>
      </c>
      <c r="RRN73" s="58">
        <v>4</v>
      </c>
      <c r="RRO73" s="49">
        <f>INDEX($T$2:$T$11,MATCH(RRK73,$R$2:$R$11,0))</f>
        <v>0.37</v>
      </c>
      <c r="RRP73" s="49">
        <f t="shared" si="394"/>
        <v>50</v>
      </c>
      <c r="RRQ73" s="57">
        <f t="shared" si="395"/>
        <v>18.5</v>
      </c>
      <c r="RRR73" s="59" t="s">
        <v>44</v>
      </c>
      <c r="RRS73" s="49" t="s">
        <v>44</v>
      </c>
      <c r="RRT73" s="51">
        <v>45117</v>
      </c>
      <c r="RRU73" s="49"/>
      <c r="RRV73" s="49" t="s">
        <v>43</v>
      </c>
      <c r="RRW73" s="49" t="s">
        <v>45</v>
      </c>
      <c r="RRX73" s="49" t="s">
        <v>42</v>
      </c>
      <c r="RRY73" s="49" t="s">
        <v>0</v>
      </c>
      <c r="RRZ73" s="49">
        <v>0</v>
      </c>
      <c r="RSA73" s="49">
        <v>1</v>
      </c>
      <c r="RSB73" s="58">
        <v>2.5</v>
      </c>
      <c r="RSC73" s="58">
        <v>5</v>
      </c>
      <c r="RSD73" s="58">
        <v>4</v>
      </c>
      <c r="RSE73" s="49">
        <f>INDEX($T$2:$T$11,MATCH(RSA73,$R$2:$R$11,0))</f>
        <v>0.37</v>
      </c>
      <c r="RSF73" s="49">
        <f t="shared" si="394"/>
        <v>50</v>
      </c>
      <c r="RSG73" s="57">
        <f t="shared" si="395"/>
        <v>18.5</v>
      </c>
      <c r="RSH73" s="59" t="s">
        <v>44</v>
      </c>
      <c r="RSI73" s="49" t="s">
        <v>44</v>
      </c>
      <c r="RSJ73" s="51">
        <v>45117</v>
      </c>
      <c r="RSK73" s="49"/>
      <c r="RSL73" s="49" t="s">
        <v>43</v>
      </c>
      <c r="RSM73" s="49" t="s">
        <v>45</v>
      </c>
      <c r="RSN73" s="49" t="s">
        <v>42</v>
      </c>
      <c r="RSO73" s="49" t="s">
        <v>0</v>
      </c>
      <c r="RSP73" s="49">
        <v>0</v>
      </c>
      <c r="RSQ73" s="49">
        <v>1</v>
      </c>
      <c r="RSR73" s="58">
        <v>2.5</v>
      </c>
      <c r="RSS73" s="58">
        <v>5</v>
      </c>
      <c r="RST73" s="58">
        <v>4</v>
      </c>
      <c r="RSU73" s="49">
        <f>INDEX($T$2:$T$11,MATCH(RSQ73,$R$2:$R$11,0))</f>
        <v>0.37</v>
      </c>
      <c r="RSV73" s="49">
        <f t="shared" ref="RSV73:RUR73" si="396">RSR73*RSS73*RST73</f>
        <v>50</v>
      </c>
      <c r="RSW73" s="57">
        <f t="shared" ref="RSW73:RUS73" si="397">RSU73*RSV73</f>
        <v>18.5</v>
      </c>
      <c r="RSX73" s="59" t="s">
        <v>44</v>
      </c>
      <c r="RSY73" s="49" t="s">
        <v>44</v>
      </c>
      <c r="RSZ73" s="51">
        <v>45117</v>
      </c>
      <c r="RTA73" s="49"/>
      <c r="RTB73" s="49" t="s">
        <v>43</v>
      </c>
      <c r="RTC73" s="49" t="s">
        <v>45</v>
      </c>
      <c r="RTD73" s="49" t="s">
        <v>42</v>
      </c>
      <c r="RTE73" s="49" t="s">
        <v>0</v>
      </c>
      <c r="RTF73" s="49">
        <v>0</v>
      </c>
      <c r="RTG73" s="49">
        <v>1</v>
      </c>
      <c r="RTH73" s="58">
        <v>2.5</v>
      </c>
      <c r="RTI73" s="58">
        <v>5</v>
      </c>
      <c r="RTJ73" s="58">
        <v>4</v>
      </c>
      <c r="RTK73" s="49">
        <f>INDEX($T$2:$T$11,MATCH(RTG73,$R$2:$R$11,0))</f>
        <v>0.37</v>
      </c>
      <c r="RTL73" s="49">
        <f t="shared" si="396"/>
        <v>50</v>
      </c>
      <c r="RTM73" s="57">
        <f t="shared" si="397"/>
        <v>18.5</v>
      </c>
      <c r="RTN73" s="59" t="s">
        <v>44</v>
      </c>
      <c r="RTO73" s="49" t="s">
        <v>44</v>
      </c>
      <c r="RTP73" s="51">
        <v>45117</v>
      </c>
      <c r="RTQ73" s="49"/>
      <c r="RTR73" s="49" t="s">
        <v>43</v>
      </c>
      <c r="RTS73" s="49" t="s">
        <v>45</v>
      </c>
      <c r="RTT73" s="49" t="s">
        <v>42</v>
      </c>
      <c r="RTU73" s="49" t="s">
        <v>0</v>
      </c>
      <c r="RTV73" s="49">
        <v>0</v>
      </c>
      <c r="RTW73" s="49">
        <v>1</v>
      </c>
      <c r="RTX73" s="58">
        <v>2.5</v>
      </c>
      <c r="RTY73" s="58">
        <v>5</v>
      </c>
      <c r="RTZ73" s="58">
        <v>4</v>
      </c>
      <c r="RUA73" s="49">
        <f>INDEX($T$2:$T$11,MATCH(RTW73,$R$2:$R$11,0))</f>
        <v>0.37</v>
      </c>
      <c r="RUB73" s="49">
        <f t="shared" si="396"/>
        <v>50</v>
      </c>
      <c r="RUC73" s="57">
        <f t="shared" si="397"/>
        <v>18.5</v>
      </c>
      <c r="RUD73" s="59" t="s">
        <v>44</v>
      </c>
      <c r="RUE73" s="49" t="s">
        <v>44</v>
      </c>
      <c r="RUF73" s="51">
        <v>45117</v>
      </c>
      <c r="RUG73" s="49"/>
      <c r="RUH73" s="49" t="s">
        <v>43</v>
      </c>
      <c r="RUI73" s="49" t="s">
        <v>45</v>
      </c>
      <c r="RUJ73" s="49" t="s">
        <v>42</v>
      </c>
      <c r="RUK73" s="49" t="s">
        <v>0</v>
      </c>
      <c r="RUL73" s="49">
        <v>0</v>
      </c>
      <c r="RUM73" s="49">
        <v>1</v>
      </c>
      <c r="RUN73" s="58">
        <v>2.5</v>
      </c>
      <c r="RUO73" s="58">
        <v>5</v>
      </c>
      <c r="RUP73" s="58">
        <v>4</v>
      </c>
      <c r="RUQ73" s="49">
        <f>INDEX($T$2:$T$11,MATCH(RUM73,$R$2:$R$11,0))</f>
        <v>0.37</v>
      </c>
      <c r="RUR73" s="49">
        <f t="shared" si="396"/>
        <v>50</v>
      </c>
      <c r="RUS73" s="57">
        <f t="shared" si="397"/>
        <v>18.5</v>
      </c>
      <c r="RUT73" s="59" t="s">
        <v>44</v>
      </c>
      <c r="RUU73" s="49" t="s">
        <v>44</v>
      </c>
      <c r="RUV73" s="51">
        <v>45117</v>
      </c>
      <c r="RUW73" s="49"/>
      <c r="RUX73" s="49" t="s">
        <v>43</v>
      </c>
      <c r="RUY73" s="49" t="s">
        <v>45</v>
      </c>
      <c r="RUZ73" s="49" t="s">
        <v>42</v>
      </c>
      <c r="RVA73" s="49" t="s">
        <v>0</v>
      </c>
      <c r="RVB73" s="49">
        <v>0</v>
      </c>
      <c r="RVC73" s="49">
        <v>1</v>
      </c>
      <c r="RVD73" s="58">
        <v>2.5</v>
      </c>
      <c r="RVE73" s="58">
        <v>5</v>
      </c>
      <c r="RVF73" s="58">
        <v>4</v>
      </c>
      <c r="RVG73" s="49">
        <f>INDEX($T$2:$T$11,MATCH(RVC73,$R$2:$R$11,0))</f>
        <v>0.37</v>
      </c>
      <c r="RVH73" s="49">
        <f t="shared" ref="RVH73:RXD73" si="398">RVD73*RVE73*RVF73</f>
        <v>50</v>
      </c>
      <c r="RVI73" s="57">
        <f t="shared" ref="RVI73:RXE73" si="399">RVG73*RVH73</f>
        <v>18.5</v>
      </c>
      <c r="RVJ73" s="59" t="s">
        <v>44</v>
      </c>
      <c r="RVK73" s="49" t="s">
        <v>44</v>
      </c>
      <c r="RVL73" s="51">
        <v>45117</v>
      </c>
      <c r="RVM73" s="49"/>
      <c r="RVN73" s="49" t="s">
        <v>43</v>
      </c>
      <c r="RVO73" s="49" t="s">
        <v>45</v>
      </c>
      <c r="RVP73" s="49" t="s">
        <v>42</v>
      </c>
      <c r="RVQ73" s="49" t="s">
        <v>0</v>
      </c>
      <c r="RVR73" s="49">
        <v>0</v>
      </c>
      <c r="RVS73" s="49">
        <v>1</v>
      </c>
      <c r="RVT73" s="58">
        <v>2.5</v>
      </c>
      <c r="RVU73" s="58">
        <v>5</v>
      </c>
      <c r="RVV73" s="58">
        <v>4</v>
      </c>
      <c r="RVW73" s="49">
        <f>INDEX($T$2:$T$11,MATCH(RVS73,$R$2:$R$11,0))</f>
        <v>0.37</v>
      </c>
      <c r="RVX73" s="49">
        <f t="shared" si="398"/>
        <v>50</v>
      </c>
      <c r="RVY73" s="57">
        <f t="shared" si="399"/>
        <v>18.5</v>
      </c>
      <c r="RVZ73" s="59" t="s">
        <v>44</v>
      </c>
      <c r="RWA73" s="49" t="s">
        <v>44</v>
      </c>
      <c r="RWB73" s="51">
        <v>45117</v>
      </c>
      <c r="RWC73" s="49"/>
      <c r="RWD73" s="49" t="s">
        <v>43</v>
      </c>
      <c r="RWE73" s="49" t="s">
        <v>45</v>
      </c>
      <c r="RWF73" s="49" t="s">
        <v>42</v>
      </c>
      <c r="RWG73" s="49" t="s">
        <v>0</v>
      </c>
      <c r="RWH73" s="49">
        <v>0</v>
      </c>
      <c r="RWI73" s="49">
        <v>1</v>
      </c>
      <c r="RWJ73" s="58">
        <v>2.5</v>
      </c>
      <c r="RWK73" s="58">
        <v>5</v>
      </c>
      <c r="RWL73" s="58">
        <v>4</v>
      </c>
      <c r="RWM73" s="49">
        <f>INDEX($T$2:$T$11,MATCH(RWI73,$R$2:$R$11,0))</f>
        <v>0.37</v>
      </c>
      <c r="RWN73" s="49">
        <f t="shared" si="398"/>
        <v>50</v>
      </c>
      <c r="RWO73" s="57">
        <f t="shared" si="399"/>
        <v>18.5</v>
      </c>
      <c r="RWP73" s="59" t="s">
        <v>44</v>
      </c>
      <c r="RWQ73" s="49" t="s">
        <v>44</v>
      </c>
      <c r="RWR73" s="51">
        <v>45117</v>
      </c>
      <c r="RWS73" s="49"/>
      <c r="RWT73" s="49" t="s">
        <v>43</v>
      </c>
      <c r="RWU73" s="49" t="s">
        <v>45</v>
      </c>
      <c r="RWV73" s="49" t="s">
        <v>42</v>
      </c>
      <c r="RWW73" s="49" t="s">
        <v>0</v>
      </c>
      <c r="RWX73" s="49">
        <v>0</v>
      </c>
      <c r="RWY73" s="49">
        <v>1</v>
      </c>
      <c r="RWZ73" s="58">
        <v>2.5</v>
      </c>
      <c r="RXA73" s="58">
        <v>5</v>
      </c>
      <c r="RXB73" s="58">
        <v>4</v>
      </c>
      <c r="RXC73" s="49">
        <f>INDEX($T$2:$T$11,MATCH(RWY73,$R$2:$R$11,0))</f>
        <v>0.37</v>
      </c>
      <c r="RXD73" s="49">
        <f t="shared" si="398"/>
        <v>50</v>
      </c>
      <c r="RXE73" s="57">
        <f t="shared" si="399"/>
        <v>18.5</v>
      </c>
      <c r="RXF73" s="59" t="s">
        <v>44</v>
      </c>
      <c r="RXG73" s="49" t="s">
        <v>44</v>
      </c>
      <c r="RXH73" s="51">
        <v>45117</v>
      </c>
      <c r="RXI73" s="49"/>
      <c r="RXJ73" s="49" t="s">
        <v>43</v>
      </c>
      <c r="RXK73" s="49" t="s">
        <v>45</v>
      </c>
      <c r="RXL73" s="49" t="s">
        <v>42</v>
      </c>
      <c r="RXM73" s="49" t="s">
        <v>0</v>
      </c>
      <c r="RXN73" s="49">
        <v>0</v>
      </c>
      <c r="RXO73" s="49">
        <v>1</v>
      </c>
      <c r="RXP73" s="58">
        <v>2.5</v>
      </c>
      <c r="RXQ73" s="58">
        <v>5</v>
      </c>
      <c r="RXR73" s="58">
        <v>4</v>
      </c>
      <c r="RXS73" s="49">
        <f>INDEX($T$2:$T$11,MATCH(RXO73,$R$2:$R$11,0))</f>
        <v>0.37</v>
      </c>
      <c r="RXT73" s="49">
        <f t="shared" ref="RXT73:RZP73" si="400">RXP73*RXQ73*RXR73</f>
        <v>50</v>
      </c>
      <c r="RXU73" s="57">
        <f t="shared" ref="RXU73:RZQ73" si="401">RXS73*RXT73</f>
        <v>18.5</v>
      </c>
      <c r="RXV73" s="59" t="s">
        <v>44</v>
      </c>
      <c r="RXW73" s="49" t="s">
        <v>44</v>
      </c>
      <c r="RXX73" s="51">
        <v>45117</v>
      </c>
      <c r="RXY73" s="49"/>
      <c r="RXZ73" s="49" t="s">
        <v>43</v>
      </c>
      <c r="RYA73" s="49" t="s">
        <v>45</v>
      </c>
      <c r="RYB73" s="49" t="s">
        <v>42</v>
      </c>
      <c r="RYC73" s="49" t="s">
        <v>0</v>
      </c>
      <c r="RYD73" s="49">
        <v>0</v>
      </c>
      <c r="RYE73" s="49">
        <v>1</v>
      </c>
      <c r="RYF73" s="58">
        <v>2.5</v>
      </c>
      <c r="RYG73" s="58">
        <v>5</v>
      </c>
      <c r="RYH73" s="58">
        <v>4</v>
      </c>
      <c r="RYI73" s="49">
        <f>INDEX($T$2:$T$11,MATCH(RYE73,$R$2:$R$11,0))</f>
        <v>0.37</v>
      </c>
      <c r="RYJ73" s="49">
        <f t="shared" si="400"/>
        <v>50</v>
      </c>
      <c r="RYK73" s="57">
        <f t="shared" si="401"/>
        <v>18.5</v>
      </c>
      <c r="RYL73" s="59" t="s">
        <v>44</v>
      </c>
      <c r="RYM73" s="49" t="s">
        <v>44</v>
      </c>
      <c r="RYN73" s="51">
        <v>45117</v>
      </c>
      <c r="RYO73" s="49"/>
      <c r="RYP73" s="49" t="s">
        <v>43</v>
      </c>
      <c r="RYQ73" s="49" t="s">
        <v>45</v>
      </c>
      <c r="RYR73" s="49" t="s">
        <v>42</v>
      </c>
      <c r="RYS73" s="49" t="s">
        <v>0</v>
      </c>
      <c r="RYT73" s="49">
        <v>0</v>
      </c>
      <c r="RYU73" s="49">
        <v>1</v>
      </c>
      <c r="RYV73" s="58">
        <v>2.5</v>
      </c>
      <c r="RYW73" s="58">
        <v>5</v>
      </c>
      <c r="RYX73" s="58">
        <v>4</v>
      </c>
      <c r="RYY73" s="49">
        <f>INDEX($T$2:$T$11,MATCH(RYU73,$R$2:$R$11,0))</f>
        <v>0.37</v>
      </c>
      <c r="RYZ73" s="49">
        <f t="shared" si="400"/>
        <v>50</v>
      </c>
      <c r="RZA73" s="57">
        <f t="shared" si="401"/>
        <v>18.5</v>
      </c>
      <c r="RZB73" s="59" t="s">
        <v>44</v>
      </c>
      <c r="RZC73" s="49" t="s">
        <v>44</v>
      </c>
      <c r="RZD73" s="51">
        <v>45117</v>
      </c>
      <c r="RZE73" s="49"/>
      <c r="RZF73" s="49" t="s">
        <v>43</v>
      </c>
      <c r="RZG73" s="49" t="s">
        <v>45</v>
      </c>
      <c r="RZH73" s="49" t="s">
        <v>42</v>
      </c>
      <c r="RZI73" s="49" t="s">
        <v>0</v>
      </c>
      <c r="RZJ73" s="49">
        <v>0</v>
      </c>
      <c r="RZK73" s="49">
        <v>1</v>
      </c>
      <c r="RZL73" s="58">
        <v>2.5</v>
      </c>
      <c r="RZM73" s="58">
        <v>5</v>
      </c>
      <c r="RZN73" s="58">
        <v>4</v>
      </c>
      <c r="RZO73" s="49">
        <f>INDEX($T$2:$T$11,MATCH(RZK73,$R$2:$R$11,0))</f>
        <v>0.37</v>
      </c>
      <c r="RZP73" s="49">
        <f t="shared" si="400"/>
        <v>50</v>
      </c>
      <c r="RZQ73" s="57">
        <f t="shared" si="401"/>
        <v>18.5</v>
      </c>
      <c r="RZR73" s="59" t="s">
        <v>44</v>
      </c>
      <c r="RZS73" s="49" t="s">
        <v>44</v>
      </c>
      <c r="RZT73" s="51">
        <v>45117</v>
      </c>
      <c r="RZU73" s="49"/>
      <c r="RZV73" s="49" t="s">
        <v>43</v>
      </c>
      <c r="RZW73" s="49" t="s">
        <v>45</v>
      </c>
      <c r="RZX73" s="49" t="s">
        <v>42</v>
      </c>
      <c r="RZY73" s="49" t="s">
        <v>0</v>
      </c>
      <c r="RZZ73" s="49">
        <v>0</v>
      </c>
      <c r="SAA73" s="49">
        <v>1</v>
      </c>
      <c r="SAB73" s="58">
        <v>2.5</v>
      </c>
      <c r="SAC73" s="58">
        <v>5</v>
      </c>
      <c r="SAD73" s="58">
        <v>4</v>
      </c>
      <c r="SAE73" s="49">
        <f>INDEX($T$2:$T$11,MATCH(SAA73,$R$2:$R$11,0))</f>
        <v>0.37</v>
      </c>
      <c r="SAF73" s="49">
        <f t="shared" ref="SAF73:SCB73" si="402">SAB73*SAC73*SAD73</f>
        <v>50</v>
      </c>
      <c r="SAG73" s="57">
        <f t="shared" ref="SAG73:SCC73" si="403">SAE73*SAF73</f>
        <v>18.5</v>
      </c>
      <c r="SAH73" s="59" t="s">
        <v>44</v>
      </c>
      <c r="SAI73" s="49" t="s">
        <v>44</v>
      </c>
      <c r="SAJ73" s="51">
        <v>45117</v>
      </c>
      <c r="SAK73" s="49"/>
      <c r="SAL73" s="49" t="s">
        <v>43</v>
      </c>
      <c r="SAM73" s="49" t="s">
        <v>45</v>
      </c>
      <c r="SAN73" s="49" t="s">
        <v>42</v>
      </c>
      <c r="SAO73" s="49" t="s">
        <v>0</v>
      </c>
      <c r="SAP73" s="49">
        <v>0</v>
      </c>
      <c r="SAQ73" s="49">
        <v>1</v>
      </c>
      <c r="SAR73" s="58">
        <v>2.5</v>
      </c>
      <c r="SAS73" s="58">
        <v>5</v>
      </c>
      <c r="SAT73" s="58">
        <v>4</v>
      </c>
      <c r="SAU73" s="49">
        <f>INDEX($T$2:$T$11,MATCH(SAQ73,$R$2:$R$11,0))</f>
        <v>0.37</v>
      </c>
      <c r="SAV73" s="49">
        <f t="shared" si="402"/>
        <v>50</v>
      </c>
      <c r="SAW73" s="57">
        <f t="shared" si="403"/>
        <v>18.5</v>
      </c>
      <c r="SAX73" s="59" t="s">
        <v>44</v>
      </c>
      <c r="SAY73" s="49" t="s">
        <v>44</v>
      </c>
      <c r="SAZ73" s="51">
        <v>45117</v>
      </c>
      <c r="SBA73" s="49"/>
      <c r="SBB73" s="49" t="s">
        <v>43</v>
      </c>
      <c r="SBC73" s="49" t="s">
        <v>45</v>
      </c>
      <c r="SBD73" s="49" t="s">
        <v>42</v>
      </c>
      <c r="SBE73" s="49" t="s">
        <v>0</v>
      </c>
      <c r="SBF73" s="49">
        <v>0</v>
      </c>
      <c r="SBG73" s="49">
        <v>1</v>
      </c>
      <c r="SBH73" s="58">
        <v>2.5</v>
      </c>
      <c r="SBI73" s="58">
        <v>5</v>
      </c>
      <c r="SBJ73" s="58">
        <v>4</v>
      </c>
      <c r="SBK73" s="49">
        <f>INDEX($T$2:$T$11,MATCH(SBG73,$R$2:$R$11,0))</f>
        <v>0.37</v>
      </c>
      <c r="SBL73" s="49">
        <f t="shared" si="402"/>
        <v>50</v>
      </c>
      <c r="SBM73" s="57">
        <f t="shared" si="403"/>
        <v>18.5</v>
      </c>
      <c r="SBN73" s="59" t="s">
        <v>44</v>
      </c>
      <c r="SBO73" s="49" t="s">
        <v>44</v>
      </c>
      <c r="SBP73" s="51">
        <v>45117</v>
      </c>
      <c r="SBQ73" s="49"/>
      <c r="SBR73" s="49" t="s">
        <v>43</v>
      </c>
      <c r="SBS73" s="49" t="s">
        <v>45</v>
      </c>
      <c r="SBT73" s="49" t="s">
        <v>42</v>
      </c>
      <c r="SBU73" s="49" t="s">
        <v>0</v>
      </c>
      <c r="SBV73" s="49">
        <v>0</v>
      </c>
      <c r="SBW73" s="49">
        <v>1</v>
      </c>
      <c r="SBX73" s="58">
        <v>2.5</v>
      </c>
      <c r="SBY73" s="58">
        <v>5</v>
      </c>
      <c r="SBZ73" s="58">
        <v>4</v>
      </c>
      <c r="SCA73" s="49">
        <f>INDEX($T$2:$T$11,MATCH(SBW73,$R$2:$R$11,0))</f>
        <v>0.37</v>
      </c>
      <c r="SCB73" s="49">
        <f t="shared" si="402"/>
        <v>50</v>
      </c>
      <c r="SCC73" s="57">
        <f t="shared" si="403"/>
        <v>18.5</v>
      </c>
      <c r="SCD73" s="59" t="s">
        <v>44</v>
      </c>
      <c r="SCE73" s="49" t="s">
        <v>44</v>
      </c>
      <c r="SCF73" s="51">
        <v>45117</v>
      </c>
      <c r="SCG73" s="49"/>
      <c r="SCH73" s="49" t="s">
        <v>43</v>
      </c>
      <c r="SCI73" s="49" t="s">
        <v>45</v>
      </c>
      <c r="SCJ73" s="49" t="s">
        <v>42</v>
      </c>
      <c r="SCK73" s="49" t="s">
        <v>0</v>
      </c>
      <c r="SCL73" s="49">
        <v>0</v>
      </c>
      <c r="SCM73" s="49">
        <v>1</v>
      </c>
      <c r="SCN73" s="58">
        <v>2.5</v>
      </c>
      <c r="SCO73" s="58">
        <v>5</v>
      </c>
      <c r="SCP73" s="58">
        <v>4</v>
      </c>
      <c r="SCQ73" s="49">
        <f>INDEX($T$2:$T$11,MATCH(SCM73,$R$2:$R$11,0))</f>
        <v>0.37</v>
      </c>
      <c r="SCR73" s="49">
        <f t="shared" ref="SCR73:SEN73" si="404">SCN73*SCO73*SCP73</f>
        <v>50</v>
      </c>
      <c r="SCS73" s="57">
        <f t="shared" ref="SCS73:SEO73" si="405">SCQ73*SCR73</f>
        <v>18.5</v>
      </c>
      <c r="SCT73" s="59" t="s">
        <v>44</v>
      </c>
      <c r="SCU73" s="49" t="s">
        <v>44</v>
      </c>
      <c r="SCV73" s="51">
        <v>45117</v>
      </c>
      <c r="SCW73" s="49"/>
      <c r="SCX73" s="49" t="s">
        <v>43</v>
      </c>
      <c r="SCY73" s="49" t="s">
        <v>45</v>
      </c>
      <c r="SCZ73" s="49" t="s">
        <v>42</v>
      </c>
      <c r="SDA73" s="49" t="s">
        <v>0</v>
      </c>
      <c r="SDB73" s="49">
        <v>0</v>
      </c>
      <c r="SDC73" s="49">
        <v>1</v>
      </c>
      <c r="SDD73" s="58">
        <v>2.5</v>
      </c>
      <c r="SDE73" s="58">
        <v>5</v>
      </c>
      <c r="SDF73" s="58">
        <v>4</v>
      </c>
      <c r="SDG73" s="49">
        <f>INDEX($T$2:$T$11,MATCH(SDC73,$R$2:$R$11,0))</f>
        <v>0.37</v>
      </c>
      <c r="SDH73" s="49">
        <f t="shared" si="404"/>
        <v>50</v>
      </c>
      <c r="SDI73" s="57">
        <f t="shared" si="405"/>
        <v>18.5</v>
      </c>
      <c r="SDJ73" s="59" t="s">
        <v>44</v>
      </c>
      <c r="SDK73" s="49" t="s">
        <v>44</v>
      </c>
      <c r="SDL73" s="51">
        <v>45117</v>
      </c>
      <c r="SDM73" s="49"/>
      <c r="SDN73" s="49" t="s">
        <v>43</v>
      </c>
      <c r="SDO73" s="49" t="s">
        <v>45</v>
      </c>
      <c r="SDP73" s="49" t="s">
        <v>42</v>
      </c>
      <c r="SDQ73" s="49" t="s">
        <v>0</v>
      </c>
      <c r="SDR73" s="49">
        <v>0</v>
      </c>
      <c r="SDS73" s="49">
        <v>1</v>
      </c>
      <c r="SDT73" s="58">
        <v>2.5</v>
      </c>
      <c r="SDU73" s="58">
        <v>5</v>
      </c>
      <c r="SDV73" s="58">
        <v>4</v>
      </c>
      <c r="SDW73" s="49">
        <f>INDEX($T$2:$T$11,MATCH(SDS73,$R$2:$R$11,0))</f>
        <v>0.37</v>
      </c>
      <c r="SDX73" s="49">
        <f t="shared" si="404"/>
        <v>50</v>
      </c>
      <c r="SDY73" s="57">
        <f t="shared" si="405"/>
        <v>18.5</v>
      </c>
      <c r="SDZ73" s="59" t="s">
        <v>44</v>
      </c>
      <c r="SEA73" s="49" t="s">
        <v>44</v>
      </c>
      <c r="SEB73" s="51">
        <v>45117</v>
      </c>
      <c r="SEC73" s="49"/>
      <c r="SED73" s="49" t="s">
        <v>43</v>
      </c>
      <c r="SEE73" s="49" t="s">
        <v>45</v>
      </c>
      <c r="SEF73" s="49" t="s">
        <v>42</v>
      </c>
      <c r="SEG73" s="49" t="s">
        <v>0</v>
      </c>
      <c r="SEH73" s="49">
        <v>0</v>
      </c>
      <c r="SEI73" s="49">
        <v>1</v>
      </c>
      <c r="SEJ73" s="58">
        <v>2.5</v>
      </c>
      <c r="SEK73" s="58">
        <v>5</v>
      </c>
      <c r="SEL73" s="58">
        <v>4</v>
      </c>
      <c r="SEM73" s="49">
        <f>INDEX($T$2:$T$11,MATCH(SEI73,$R$2:$R$11,0))</f>
        <v>0.37</v>
      </c>
      <c r="SEN73" s="49">
        <f t="shared" si="404"/>
        <v>50</v>
      </c>
      <c r="SEO73" s="57">
        <f t="shared" si="405"/>
        <v>18.5</v>
      </c>
      <c r="SEP73" s="59" t="s">
        <v>44</v>
      </c>
      <c r="SEQ73" s="49" t="s">
        <v>44</v>
      </c>
      <c r="SER73" s="51">
        <v>45117</v>
      </c>
      <c r="SES73" s="49"/>
      <c r="SET73" s="49" t="s">
        <v>43</v>
      </c>
      <c r="SEU73" s="49" t="s">
        <v>45</v>
      </c>
      <c r="SEV73" s="49" t="s">
        <v>42</v>
      </c>
      <c r="SEW73" s="49" t="s">
        <v>0</v>
      </c>
      <c r="SEX73" s="49">
        <v>0</v>
      </c>
      <c r="SEY73" s="49">
        <v>1</v>
      </c>
      <c r="SEZ73" s="58">
        <v>2.5</v>
      </c>
      <c r="SFA73" s="58">
        <v>5</v>
      </c>
      <c r="SFB73" s="58">
        <v>4</v>
      </c>
      <c r="SFC73" s="49">
        <f>INDEX($T$2:$T$11,MATCH(SEY73,$R$2:$R$11,0))</f>
        <v>0.37</v>
      </c>
      <c r="SFD73" s="49">
        <f t="shared" ref="SFD73:SGZ73" si="406">SEZ73*SFA73*SFB73</f>
        <v>50</v>
      </c>
      <c r="SFE73" s="57">
        <f t="shared" ref="SFE73:SHA73" si="407">SFC73*SFD73</f>
        <v>18.5</v>
      </c>
      <c r="SFF73" s="59" t="s">
        <v>44</v>
      </c>
      <c r="SFG73" s="49" t="s">
        <v>44</v>
      </c>
      <c r="SFH73" s="51">
        <v>45117</v>
      </c>
      <c r="SFI73" s="49"/>
      <c r="SFJ73" s="49" t="s">
        <v>43</v>
      </c>
      <c r="SFK73" s="49" t="s">
        <v>45</v>
      </c>
      <c r="SFL73" s="49" t="s">
        <v>42</v>
      </c>
      <c r="SFM73" s="49" t="s">
        <v>0</v>
      </c>
      <c r="SFN73" s="49">
        <v>0</v>
      </c>
      <c r="SFO73" s="49">
        <v>1</v>
      </c>
      <c r="SFP73" s="58">
        <v>2.5</v>
      </c>
      <c r="SFQ73" s="58">
        <v>5</v>
      </c>
      <c r="SFR73" s="58">
        <v>4</v>
      </c>
      <c r="SFS73" s="49">
        <f>INDEX($T$2:$T$11,MATCH(SFO73,$R$2:$R$11,0))</f>
        <v>0.37</v>
      </c>
      <c r="SFT73" s="49">
        <f t="shared" si="406"/>
        <v>50</v>
      </c>
      <c r="SFU73" s="57">
        <f t="shared" si="407"/>
        <v>18.5</v>
      </c>
      <c r="SFV73" s="59" t="s">
        <v>44</v>
      </c>
      <c r="SFW73" s="49" t="s">
        <v>44</v>
      </c>
      <c r="SFX73" s="51">
        <v>45117</v>
      </c>
      <c r="SFY73" s="49"/>
      <c r="SFZ73" s="49" t="s">
        <v>43</v>
      </c>
      <c r="SGA73" s="49" t="s">
        <v>45</v>
      </c>
      <c r="SGB73" s="49" t="s">
        <v>42</v>
      </c>
      <c r="SGC73" s="49" t="s">
        <v>0</v>
      </c>
      <c r="SGD73" s="49">
        <v>0</v>
      </c>
      <c r="SGE73" s="49">
        <v>1</v>
      </c>
      <c r="SGF73" s="58">
        <v>2.5</v>
      </c>
      <c r="SGG73" s="58">
        <v>5</v>
      </c>
      <c r="SGH73" s="58">
        <v>4</v>
      </c>
      <c r="SGI73" s="49">
        <f>INDEX($T$2:$T$11,MATCH(SGE73,$R$2:$R$11,0))</f>
        <v>0.37</v>
      </c>
      <c r="SGJ73" s="49">
        <f t="shared" si="406"/>
        <v>50</v>
      </c>
      <c r="SGK73" s="57">
        <f t="shared" si="407"/>
        <v>18.5</v>
      </c>
      <c r="SGL73" s="59" t="s">
        <v>44</v>
      </c>
      <c r="SGM73" s="49" t="s">
        <v>44</v>
      </c>
      <c r="SGN73" s="51">
        <v>45117</v>
      </c>
      <c r="SGO73" s="49"/>
      <c r="SGP73" s="49" t="s">
        <v>43</v>
      </c>
      <c r="SGQ73" s="49" t="s">
        <v>45</v>
      </c>
      <c r="SGR73" s="49" t="s">
        <v>42</v>
      </c>
      <c r="SGS73" s="49" t="s">
        <v>0</v>
      </c>
      <c r="SGT73" s="49">
        <v>0</v>
      </c>
      <c r="SGU73" s="49">
        <v>1</v>
      </c>
      <c r="SGV73" s="58">
        <v>2.5</v>
      </c>
      <c r="SGW73" s="58">
        <v>5</v>
      </c>
      <c r="SGX73" s="58">
        <v>4</v>
      </c>
      <c r="SGY73" s="49">
        <f>INDEX($T$2:$T$11,MATCH(SGU73,$R$2:$R$11,0))</f>
        <v>0.37</v>
      </c>
      <c r="SGZ73" s="49">
        <f t="shared" si="406"/>
        <v>50</v>
      </c>
      <c r="SHA73" s="57">
        <f t="shared" si="407"/>
        <v>18.5</v>
      </c>
      <c r="SHB73" s="59" t="s">
        <v>44</v>
      </c>
      <c r="SHC73" s="49" t="s">
        <v>44</v>
      </c>
      <c r="SHD73" s="51">
        <v>45117</v>
      </c>
      <c r="SHE73" s="49"/>
      <c r="SHF73" s="49" t="s">
        <v>43</v>
      </c>
      <c r="SHG73" s="49" t="s">
        <v>45</v>
      </c>
      <c r="SHH73" s="49" t="s">
        <v>42</v>
      </c>
      <c r="SHI73" s="49" t="s">
        <v>0</v>
      </c>
      <c r="SHJ73" s="49">
        <v>0</v>
      </c>
      <c r="SHK73" s="49">
        <v>1</v>
      </c>
      <c r="SHL73" s="58">
        <v>2.5</v>
      </c>
      <c r="SHM73" s="58">
        <v>5</v>
      </c>
      <c r="SHN73" s="58">
        <v>4</v>
      </c>
      <c r="SHO73" s="49">
        <f>INDEX($T$2:$T$11,MATCH(SHK73,$R$2:$R$11,0))</f>
        <v>0.37</v>
      </c>
      <c r="SHP73" s="49">
        <f t="shared" ref="SHP73:SJL73" si="408">SHL73*SHM73*SHN73</f>
        <v>50</v>
      </c>
      <c r="SHQ73" s="57">
        <f t="shared" ref="SHQ73:SJM73" si="409">SHO73*SHP73</f>
        <v>18.5</v>
      </c>
      <c r="SHR73" s="59" t="s">
        <v>44</v>
      </c>
      <c r="SHS73" s="49" t="s">
        <v>44</v>
      </c>
      <c r="SHT73" s="51">
        <v>45117</v>
      </c>
      <c r="SHU73" s="49"/>
      <c r="SHV73" s="49" t="s">
        <v>43</v>
      </c>
      <c r="SHW73" s="49" t="s">
        <v>45</v>
      </c>
      <c r="SHX73" s="49" t="s">
        <v>42</v>
      </c>
      <c r="SHY73" s="49" t="s">
        <v>0</v>
      </c>
      <c r="SHZ73" s="49">
        <v>0</v>
      </c>
      <c r="SIA73" s="49">
        <v>1</v>
      </c>
      <c r="SIB73" s="58">
        <v>2.5</v>
      </c>
      <c r="SIC73" s="58">
        <v>5</v>
      </c>
      <c r="SID73" s="58">
        <v>4</v>
      </c>
      <c r="SIE73" s="49">
        <f>INDEX($T$2:$T$11,MATCH(SIA73,$R$2:$R$11,0))</f>
        <v>0.37</v>
      </c>
      <c r="SIF73" s="49">
        <f t="shared" si="408"/>
        <v>50</v>
      </c>
      <c r="SIG73" s="57">
        <f t="shared" si="409"/>
        <v>18.5</v>
      </c>
      <c r="SIH73" s="59" t="s">
        <v>44</v>
      </c>
      <c r="SII73" s="49" t="s">
        <v>44</v>
      </c>
      <c r="SIJ73" s="51">
        <v>45117</v>
      </c>
      <c r="SIK73" s="49"/>
      <c r="SIL73" s="49" t="s">
        <v>43</v>
      </c>
      <c r="SIM73" s="49" t="s">
        <v>45</v>
      </c>
      <c r="SIN73" s="49" t="s">
        <v>42</v>
      </c>
      <c r="SIO73" s="49" t="s">
        <v>0</v>
      </c>
      <c r="SIP73" s="49">
        <v>0</v>
      </c>
      <c r="SIQ73" s="49">
        <v>1</v>
      </c>
      <c r="SIR73" s="58">
        <v>2.5</v>
      </c>
      <c r="SIS73" s="58">
        <v>5</v>
      </c>
      <c r="SIT73" s="58">
        <v>4</v>
      </c>
      <c r="SIU73" s="49">
        <f>INDEX($T$2:$T$11,MATCH(SIQ73,$R$2:$R$11,0))</f>
        <v>0.37</v>
      </c>
      <c r="SIV73" s="49">
        <f t="shared" si="408"/>
        <v>50</v>
      </c>
      <c r="SIW73" s="57">
        <f t="shared" si="409"/>
        <v>18.5</v>
      </c>
      <c r="SIX73" s="59" t="s">
        <v>44</v>
      </c>
      <c r="SIY73" s="49" t="s">
        <v>44</v>
      </c>
      <c r="SIZ73" s="51">
        <v>45117</v>
      </c>
      <c r="SJA73" s="49"/>
      <c r="SJB73" s="49" t="s">
        <v>43</v>
      </c>
      <c r="SJC73" s="49" t="s">
        <v>45</v>
      </c>
      <c r="SJD73" s="49" t="s">
        <v>42</v>
      </c>
      <c r="SJE73" s="49" t="s">
        <v>0</v>
      </c>
      <c r="SJF73" s="49">
        <v>0</v>
      </c>
      <c r="SJG73" s="49">
        <v>1</v>
      </c>
      <c r="SJH73" s="58">
        <v>2.5</v>
      </c>
      <c r="SJI73" s="58">
        <v>5</v>
      </c>
      <c r="SJJ73" s="58">
        <v>4</v>
      </c>
      <c r="SJK73" s="49">
        <f>INDEX($T$2:$T$11,MATCH(SJG73,$R$2:$R$11,0))</f>
        <v>0.37</v>
      </c>
      <c r="SJL73" s="49">
        <f t="shared" si="408"/>
        <v>50</v>
      </c>
      <c r="SJM73" s="57">
        <f t="shared" si="409"/>
        <v>18.5</v>
      </c>
      <c r="SJN73" s="59" t="s">
        <v>44</v>
      </c>
      <c r="SJO73" s="49" t="s">
        <v>44</v>
      </c>
      <c r="SJP73" s="51">
        <v>45117</v>
      </c>
      <c r="SJQ73" s="49"/>
      <c r="SJR73" s="49" t="s">
        <v>43</v>
      </c>
      <c r="SJS73" s="49" t="s">
        <v>45</v>
      </c>
      <c r="SJT73" s="49" t="s">
        <v>42</v>
      </c>
      <c r="SJU73" s="49" t="s">
        <v>0</v>
      </c>
      <c r="SJV73" s="49">
        <v>0</v>
      </c>
      <c r="SJW73" s="49">
        <v>1</v>
      </c>
      <c r="SJX73" s="58">
        <v>2.5</v>
      </c>
      <c r="SJY73" s="58">
        <v>5</v>
      </c>
      <c r="SJZ73" s="58">
        <v>4</v>
      </c>
      <c r="SKA73" s="49">
        <f>INDEX($T$2:$T$11,MATCH(SJW73,$R$2:$R$11,0))</f>
        <v>0.37</v>
      </c>
      <c r="SKB73" s="49">
        <f t="shared" ref="SKB73:SLX73" si="410">SJX73*SJY73*SJZ73</f>
        <v>50</v>
      </c>
      <c r="SKC73" s="57">
        <f t="shared" ref="SKC73:SLY73" si="411">SKA73*SKB73</f>
        <v>18.5</v>
      </c>
      <c r="SKD73" s="59" t="s">
        <v>44</v>
      </c>
      <c r="SKE73" s="49" t="s">
        <v>44</v>
      </c>
      <c r="SKF73" s="51">
        <v>45117</v>
      </c>
      <c r="SKG73" s="49"/>
      <c r="SKH73" s="49" t="s">
        <v>43</v>
      </c>
      <c r="SKI73" s="49" t="s">
        <v>45</v>
      </c>
      <c r="SKJ73" s="49" t="s">
        <v>42</v>
      </c>
      <c r="SKK73" s="49" t="s">
        <v>0</v>
      </c>
      <c r="SKL73" s="49">
        <v>0</v>
      </c>
      <c r="SKM73" s="49">
        <v>1</v>
      </c>
      <c r="SKN73" s="58">
        <v>2.5</v>
      </c>
      <c r="SKO73" s="58">
        <v>5</v>
      </c>
      <c r="SKP73" s="58">
        <v>4</v>
      </c>
      <c r="SKQ73" s="49">
        <f>INDEX($T$2:$T$11,MATCH(SKM73,$R$2:$R$11,0))</f>
        <v>0.37</v>
      </c>
      <c r="SKR73" s="49">
        <f t="shared" si="410"/>
        <v>50</v>
      </c>
      <c r="SKS73" s="57">
        <f t="shared" si="411"/>
        <v>18.5</v>
      </c>
      <c r="SKT73" s="59" t="s">
        <v>44</v>
      </c>
      <c r="SKU73" s="49" t="s">
        <v>44</v>
      </c>
      <c r="SKV73" s="51">
        <v>45117</v>
      </c>
      <c r="SKW73" s="49"/>
      <c r="SKX73" s="49" t="s">
        <v>43</v>
      </c>
      <c r="SKY73" s="49" t="s">
        <v>45</v>
      </c>
      <c r="SKZ73" s="49" t="s">
        <v>42</v>
      </c>
      <c r="SLA73" s="49" t="s">
        <v>0</v>
      </c>
      <c r="SLB73" s="49">
        <v>0</v>
      </c>
      <c r="SLC73" s="49">
        <v>1</v>
      </c>
      <c r="SLD73" s="58">
        <v>2.5</v>
      </c>
      <c r="SLE73" s="58">
        <v>5</v>
      </c>
      <c r="SLF73" s="58">
        <v>4</v>
      </c>
      <c r="SLG73" s="49">
        <f>INDEX($T$2:$T$11,MATCH(SLC73,$R$2:$R$11,0))</f>
        <v>0.37</v>
      </c>
      <c r="SLH73" s="49">
        <f t="shared" si="410"/>
        <v>50</v>
      </c>
      <c r="SLI73" s="57">
        <f t="shared" si="411"/>
        <v>18.5</v>
      </c>
      <c r="SLJ73" s="59" t="s">
        <v>44</v>
      </c>
      <c r="SLK73" s="49" t="s">
        <v>44</v>
      </c>
      <c r="SLL73" s="51">
        <v>45117</v>
      </c>
      <c r="SLM73" s="49"/>
      <c r="SLN73" s="49" t="s">
        <v>43</v>
      </c>
      <c r="SLO73" s="49" t="s">
        <v>45</v>
      </c>
      <c r="SLP73" s="49" t="s">
        <v>42</v>
      </c>
      <c r="SLQ73" s="49" t="s">
        <v>0</v>
      </c>
      <c r="SLR73" s="49">
        <v>0</v>
      </c>
      <c r="SLS73" s="49">
        <v>1</v>
      </c>
      <c r="SLT73" s="58">
        <v>2.5</v>
      </c>
      <c r="SLU73" s="58">
        <v>5</v>
      </c>
      <c r="SLV73" s="58">
        <v>4</v>
      </c>
      <c r="SLW73" s="49">
        <f>INDEX($T$2:$T$11,MATCH(SLS73,$R$2:$R$11,0))</f>
        <v>0.37</v>
      </c>
      <c r="SLX73" s="49">
        <f t="shared" si="410"/>
        <v>50</v>
      </c>
      <c r="SLY73" s="57">
        <f t="shared" si="411"/>
        <v>18.5</v>
      </c>
      <c r="SLZ73" s="59" t="s">
        <v>44</v>
      </c>
      <c r="SMA73" s="49" t="s">
        <v>44</v>
      </c>
      <c r="SMB73" s="51">
        <v>45117</v>
      </c>
      <c r="SMC73" s="49"/>
      <c r="SMD73" s="49" t="s">
        <v>43</v>
      </c>
      <c r="SME73" s="49" t="s">
        <v>45</v>
      </c>
      <c r="SMF73" s="49" t="s">
        <v>42</v>
      </c>
      <c r="SMG73" s="49" t="s">
        <v>0</v>
      </c>
      <c r="SMH73" s="49">
        <v>0</v>
      </c>
      <c r="SMI73" s="49">
        <v>1</v>
      </c>
      <c r="SMJ73" s="58">
        <v>2.5</v>
      </c>
      <c r="SMK73" s="58">
        <v>5</v>
      </c>
      <c r="SML73" s="58">
        <v>4</v>
      </c>
      <c r="SMM73" s="49">
        <f>INDEX($T$2:$T$11,MATCH(SMI73,$R$2:$R$11,0))</f>
        <v>0.37</v>
      </c>
      <c r="SMN73" s="49">
        <f t="shared" ref="SMN73:SOJ73" si="412">SMJ73*SMK73*SML73</f>
        <v>50</v>
      </c>
      <c r="SMO73" s="57">
        <f t="shared" ref="SMO73:SOK73" si="413">SMM73*SMN73</f>
        <v>18.5</v>
      </c>
      <c r="SMP73" s="59" t="s">
        <v>44</v>
      </c>
      <c r="SMQ73" s="49" t="s">
        <v>44</v>
      </c>
      <c r="SMR73" s="51">
        <v>45117</v>
      </c>
      <c r="SMS73" s="49"/>
      <c r="SMT73" s="49" t="s">
        <v>43</v>
      </c>
      <c r="SMU73" s="49" t="s">
        <v>45</v>
      </c>
      <c r="SMV73" s="49" t="s">
        <v>42</v>
      </c>
      <c r="SMW73" s="49" t="s">
        <v>0</v>
      </c>
      <c r="SMX73" s="49">
        <v>0</v>
      </c>
      <c r="SMY73" s="49">
        <v>1</v>
      </c>
      <c r="SMZ73" s="58">
        <v>2.5</v>
      </c>
      <c r="SNA73" s="58">
        <v>5</v>
      </c>
      <c r="SNB73" s="58">
        <v>4</v>
      </c>
      <c r="SNC73" s="49">
        <f>INDEX($T$2:$T$11,MATCH(SMY73,$R$2:$R$11,0))</f>
        <v>0.37</v>
      </c>
      <c r="SND73" s="49">
        <f t="shared" si="412"/>
        <v>50</v>
      </c>
      <c r="SNE73" s="57">
        <f t="shared" si="413"/>
        <v>18.5</v>
      </c>
      <c r="SNF73" s="59" t="s">
        <v>44</v>
      </c>
      <c r="SNG73" s="49" t="s">
        <v>44</v>
      </c>
      <c r="SNH73" s="51">
        <v>45117</v>
      </c>
      <c r="SNI73" s="49"/>
      <c r="SNJ73" s="49" t="s">
        <v>43</v>
      </c>
      <c r="SNK73" s="49" t="s">
        <v>45</v>
      </c>
      <c r="SNL73" s="49" t="s">
        <v>42</v>
      </c>
      <c r="SNM73" s="49" t="s">
        <v>0</v>
      </c>
      <c r="SNN73" s="49">
        <v>0</v>
      </c>
      <c r="SNO73" s="49">
        <v>1</v>
      </c>
      <c r="SNP73" s="58">
        <v>2.5</v>
      </c>
      <c r="SNQ73" s="58">
        <v>5</v>
      </c>
      <c r="SNR73" s="58">
        <v>4</v>
      </c>
      <c r="SNS73" s="49">
        <f>INDEX($T$2:$T$11,MATCH(SNO73,$R$2:$R$11,0))</f>
        <v>0.37</v>
      </c>
      <c r="SNT73" s="49">
        <f t="shared" si="412"/>
        <v>50</v>
      </c>
      <c r="SNU73" s="57">
        <f t="shared" si="413"/>
        <v>18.5</v>
      </c>
      <c r="SNV73" s="59" t="s">
        <v>44</v>
      </c>
      <c r="SNW73" s="49" t="s">
        <v>44</v>
      </c>
      <c r="SNX73" s="51">
        <v>45117</v>
      </c>
      <c r="SNY73" s="49"/>
      <c r="SNZ73" s="49" t="s">
        <v>43</v>
      </c>
      <c r="SOA73" s="49" t="s">
        <v>45</v>
      </c>
      <c r="SOB73" s="49" t="s">
        <v>42</v>
      </c>
      <c r="SOC73" s="49" t="s">
        <v>0</v>
      </c>
      <c r="SOD73" s="49">
        <v>0</v>
      </c>
      <c r="SOE73" s="49">
        <v>1</v>
      </c>
      <c r="SOF73" s="58">
        <v>2.5</v>
      </c>
      <c r="SOG73" s="58">
        <v>5</v>
      </c>
      <c r="SOH73" s="58">
        <v>4</v>
      </c>
      <c r="SOI73" s="49">
        <f>INDEX($T$2:$T$11,MATCH(SOE73,$R$2:$R$11,0))</f>
        <v>0.37</v>
      </c>
      <c r="SOJ73" s="49">
        <f t="shared" si="412"/>
        <v>50</v>
      </c>
      <c r="SOK73" s="57">
        <f t="shared" si="413"/>
        <v>18.5</v>
      </c>
      <c r="SOL73" s="59" t="s">
        <v>44</v>
      </c>
      <c r="SOM73" s="49" t="s">
        <v>44</v>
      </c>
      <c r="SON73" s="51">
        <v>45117</v>
      </c>
      <c r="SOO73" s="49"/>
      <c r="SOP73" s="49" t="s">
        <v>43</v>
      </c>
      <c r="SOQ73" s="49" t="s">
        <v>45</v>
      </c>
      <c r="SOR73" s="49" t="s">
        <v>42</v>
      </c>
      <c r="SOS73" s="49" t="s">
        <v>0</v>
      </c>
      <c r="SOT73" s="49">
        <v>0</v>
      </c>
      <c r="SOU73" s="49">
        <v>1</v>
      </c>
      <c r="SOV73" s="58">
        <v>2.5</v>
      </c>
      <c r="SOW73" s="58">
        <v>5</v>
      </c>
      <c r="SOX73" s="58">
        <v>4</v>
      </c>
      <c r="SOY73" s="49">
        <f>INDEX($T$2:$T$11,MATCH(SOU73,$R$2:$R$11,0))</f>
        <v>0.37</v>
      </c>
      <c r="SOZ73" s="49">
        <f t="shared" ref="SOZ73:SQV73" si="414">SOV73*SOW73*SOX73</f>
        <v>50</v>
      </c>
      <c r="SPA73" s="57">
        <f t="shared" ref="SPA73:SQW73" si="415">SOY73*SOZ73</f>
        <v>18.5</v>
      </c>
      <c r="SPB73" s="59" t="s">
        <v>44</v>
      </c>
      <c r="SPC73" s="49" t="s">
        <v>44</v>
      </c>
      <c r="SPD73" s="51">
        <v>45117</v>
      </c>
      <c r="SPE73" s="49"/>
      <c r="SPF73" s="49" t="s">
        <v>43</v>
      </c>
      <c r="SPG73" s="49" t="s">
        <v>45</v>
      </c>
      <c r="SPH73" s="49" t="s">
        <v>42</v>
      </c>
      <c r="SPI73" s="49" t="s">
        <v>0</v>
      </c>
      <c r="SPJ73" s="49">
        <v>0</v>
      </c>
      <c r="SPK73" s="49">
        <v>1</v>
      </c>
      <c r="SPL73" s="58">
        <v>2.5</v>
      </c>
      <c r="SPM73" s="58">
        <v>5</v>
      </c>
      <c r="SPN73" s="58">
        <v>4</v>
      </c>
      <c r="SPO73" s="49">
        <f>INDEX($T$2:$T$11,MATCH(SPK73,$R$2:$R$11,0))</f>
        <v>0.37</v>
      </c>
      <c r="SPP73" s="49">
        <f t="shared" si="414"/>
        <v>50</v>
      </c>
      <c r="SPQ73" s="57">
        <f t="shared" si="415"/>
        <v>18.5</v>
      </c>
      <c r="SPR73" s="59" t="s">
        <v>44</v>
      </c>
      <c r="SPS73" s="49" t="s">
        <v>44</v>
      </c>
      <c r="SPT73" s="51">
        <v>45117</v>
      </c>
      <c r="SPU73" s="49"/>
      <c r="SPV73" s="49" t="s">
        <v>43</v>
      </c>
      <c r="SPW73" s="49" t="s">
        <v>45</v>
      </c>
      <c r="SPX73" s="49" t="s">
        <v>42</v>
      </c>
      <c r="SPY73" s="49" t="s">
        <v>0</v>
      </c>
      <c r="SPZ73" s="49">
        <v>0</v>
      </c>
      <c r="SQA73" s="49">
        <v>1</v>
      </c>
      <c r="SQB73" s="58">
        <v>2.5</v>
      </c>
      <c r="SQC73" s="58">
        <v>5</v>
      </c>
      <c r="SQD73" s="58">
        <v>4</v>
      </c>
      <c r="SQE73" s="49">
        <f>INDEX($T$2:$T$11,MATCH(SQA73,$R$2:$R$11,0))</f>
        <v>0.37</v>
      </c>
      <c r="SQF73" s="49">
        <f t="shared" si="414"/>
        <v>50</v>
      </c>
      <c r="SQG73" s="57">
        <f t="shared" si="415"/>
        <v>18.5</v>
      </c>
      <c r="SQH73" s="59" t="s">
        <v>44</v>
      </c>
      <c r="SQI73" s="49" t="s">
        <v>44</v>
      </c>
      <c r="SQJ73" s="51">
        <v>45117</v>
      </c>
      <c r="SQK73" s="49"/>
      <c r="SQL73" s="49" t="s">
        <v>43</v>
      </c>
      <c r="SQM73" s="49" t="s">
        <v>45</v>
      </c>
      <c r="SQN73" s="49" t="s">
        <v>42</v>
      </c>
      <c r="SQO73" s="49" t="s">
        <v>0</v>
      </c>
      <c r="SQP73" s="49">
        <v>0</v>
      </c>
      <c r="SQQ73" s="49">
        <v>1</v>
      </c>
      <c r="SQR73" s="58">
        <v>2.5</v>
      </c>
      <c r="SQS73" s="58">
        <v>5</v>
      </c>
      <c r="SQT73" s="58">
        <v>4</v>
      </c>
      <c r="SQU73" s="49">
        <f>INDEX($T$2:$T$11,MATCH(SQQ73,$R$2:$R$11,0))</f>
        <v>0.37</v>
      </c>
      <c r="SQV73" s="49">
        <f t="shared" si="414"/>
        <v>50</v>
      </c>
      <c r="SQW73" s="57">
        <f t="shared" si="415"/>
        <v>18.5</v>
      </c>
      <c r="SQX73" s="59" t="s">
        <v>44</v>
      </c>
      <c r="SQY73" s="49" t="s">
        <v>44</v>
      </c>
      <c r="SQZ73" s="51">
        <v>45117</v>
      </c>
      <c r="SRA73" s="49"/>
      <c r="SRB73" s="49" t="s">
        <v>43</v>
      </c>
      <c r="SRC73" s="49" t="s">
        <v>45</v>
      </c>
      <c r="SRD73" s="49" t="s">
        <v>42</v>
      </c>
      <c r="SRE73" s="49" t="s">
        <v>0</v>
      </c>
      <c r="SRF73" s="49">
        <v>0</v>
      </c>
      <c r="SRG73" s="49">
        <v>1</v>
      </c>
      <c r="SRH73" s="58">
        <v>2.5</v>
      </c>
      <c r="SRI73" s="58">
        <v>5</v>
      </c>
      <c r="SRJ73" s="58">
        <v>4</v>
      </c>
      <c r="SRK73" s="49">
        <f>INDEX($T$2:$T$11,MATCH(SRG73,$R$2:$R$11,0))</f>
        <v>0.37</v>
      </c>
      <c r="SRL73" s="49">
        <f t="shared" ref="SRL73:STH73" si="416">SRH73*SRI73*SRJ73</f>
        <v>50</v>
      </c>
      <c r="SRM73" s="57">
        <f t="shared" ref="SRM73:STI73" si="417">SRK73*SRL73</f>
        <v>18.5</v>
      </c>
      <c r="SRN73" s="59" t="s">
        <v>44</v>
      </c>
      <c r="SRO73" s="49" t="s">
        <v>44</v>
      </c>
      <c r="SRP73" s="51">
        <v>45117</v>
      </c>
      <c r="SRQ73" s="49"/>
      <c r="SRR73" s="49" t="s">
        <v>43</v>
      </c>
      <c r="SRS73" s="49" t="s">
        <v>45</v>
      </c>
      <c r="SRT73" s="49" t="s">
        <v>42</v>
      </c>
      <c r="SRU73" s="49" t="s">
        <v>0</v>
      </c>
      <c r="SRV73" s="49">
        <v>0</v>
      </c>
      <c r="SRW73" s="49">
        <v>1</v>
      </c>
      <c r="SRX73" s="58">
        <v>2.5</v>
      </c>
      <c r="SRY73" s="58">
        <v>5</v>
      </c>
      <c r="SRZ73" s="58">
        <v>4</v>
      </c>
      <c r="SSA73" s="49">
        <f>INDEX($T$2:$T$11,MATCH(SRW73,$R$2:$R$11,0))</f>
        <v>0.37</v>
      </c>
      <c r="SSB73" s="49">
        <f t="shared" si="416"/>
        <v>50</v>
      </c>
      <c r="SSC73" s="57">
        <f t="shared" si="417"/>
        <v>18.5</v>
      </c>
      <c r="SSD73" s="59" t="s">
        <v>44</v>
      </c>
      <c r="SSE73" s="49" t="s">
        <v>44</v>
      </c>
      <c r="SSF73" s="51">
        <v>45117</v>
      </c>
      <c r="SSG73" s="49"/>
      <c r="SSH73" s="49" t="s">
        <v>43</v>
      </c>
      <c r="SSI73" s="49" t="s">
        <v>45</v>
      </c>
      <c r="SSJ73" s="49" t="s">
        <v>42</v>
      </c>
      <c r="SSK73" s="49" t="s">
        <v>0</v>
      </c>
      <c r="SSL73" s="49">
        <v>0</v>
      </c>
      <c r="SSM73" s="49">
        <v>1</v>
      </c>
      <c r="SSN73" s="58">
        <v>2.5</v>
      </c>
      <c r="SSO73" s="58">
        <v>5</v>
      </c>
      <c r="SSP73" s="58">
        <v>4</v>
      </c>
      <c r="SSQ73" s="49">
        <f>INDEX($T$2:$T$11,MATCH(SSM73,$R$2:$R$11,0))</f>
        <v>0.37</v>
      </c>
      <c r="SSR73" s="49">
        <f t="shared" si="416"/>
        <v>50</v>
      </c>
      <c r="SSS73" s="57">
        <f t="shared" si="417"/>
        <v>18.5</v>
      </c>
      <c r="SST73" s="59" t="s">
        <v>44</v>
      </c>
      <c r="SSU73" s="49" t="s">
        <v>44</v>
      </c>
      <c r="SSV73" s="51">
        <v>45117</v>
      </c>
      <c r="SSW73" s="49"/>
      <c r="SSX73" s="49" t="s">
        <v>43</v>
      </c>
      <c r="SSY73" s="49" t="s">
        <v>45</v>
      </c>
      <c r="SSZ73" s="49" t="s">
        <v>42</v>
      </c>
      <c r="STA73" s="49" t="s">
        <v>0</v>
      </c>
      <c r="STB73" s="49">
        <v>0</v>
      </c>
      <c r="STC73" s="49">
        <v>1</v>
      </c>
      <c r="STD73" s="58">
        <v>2.5</v>
      </c>
      <c r="STE73" s="58">
        <v>5</v>
      </c>
      <c r="STF73" s="58">
        <v>4</v>
      </c>
      <c r="STG73" s="49">
        <f>INDEX($T$2:$T$11,MATCH(STC73,$R$2:$R$11,0))</f>
        <v>0.37</v>
      </c>
      <c r="STH73" s="49">
        <f t="shared" si="416"/>
        <v>50</v>
      </c>
      <c r="STI73" s="57">
        <f t="shared" si="417"/>
        <v>18.5</v>
      </c>
      <c r="STJ73" s="59" t="s">
        <v>44</v>
      </c>
      <c r="STK73" s="49" t="s">
        <v>44</v>
      </c>
      <c r="STL73" s="51">
        <v>45117</v>
      </c>
      <c r="STM73" s="49"/>
      <c r="STN73" s="49" t="s">
        <v>43</v>
      </c>
      <c r="STO73" s="49" t="s">
        <v>45</v>
      </c>
      <c r="STP73" s="49" t="s">
        <v>42</v>
      </c>
      <c r="STQ73" s="49" t="s">
        <v>0</v>
      </c>
      <c r="STR73" s="49">
        <v>0</v>
      </c>
      <c r="STS73" s="49">
        <v>1</v>
      </c>
      <c r="STT73" s="58">
        <v>2.5</v>
      </c>
      <c r="STU73" s="58">
        <v>5</v>
      </c>
      <c r="STV73" s="58">
        <v>4</v>
      </c>
      <c r="STW73" s="49">
        <f>INDEX($T$2:$T$11,MATCH(STS73,$R$2:$R$11,0))</f>
        <v>0.37</v>
      </c>
      <c r="STX73" s="49">
        <f t="shared" ref="STX73:SVT73" si="418">STT73*STU73*STV73</f>
        <v>50</v>
      </c>
      <c r="STY73" s="57">
        <f t="shared" ref="STY73:SVU73" si="419">STW73*STX73</f>
        <v>18.5</v>
      </c>
      <c r="STZ73" s="59" t="s">
        <v>44</v>
      </c>
      <c r="SUA73" s="49" t="s">
        <v>44</v>
      </c>
      <c r="SUB73" s="51">
        <v>45117</v>
      </c>
      <c r="SUC73" s="49"/>
      <c r="SUD73" s="49" t="s">
        <v>43</v>
      </c>
      <c r="SUE73" s="49" t="s">
        <v>45</v>
      </c>
      <c r="SUF73" s="49" t="s">
        <v>42</v>
      </c>
      <c r="SUG73" s="49" t="s">
        <v>0</v>
      </c>
      <c r="SUH73" s="49">
        <v>0</v>
      </c>
      <c r="SUI73" s="49">
        <v>1</v>
      </c>
      <c r="SUJ73" s="58">
        <v>2.5</v>
      </c>
      <c r="SUK73" s="58">
        <v>5</v>
      </c>
      <c r="SUL73" s="58">
        <v>4</v>
      </c>
      <c r="SUM73" s="49">
        <f>INDEX($T$2:$T$11,MATCH(SUI73,$R$2:$R$11,0))</f>
        <v>0.37</v>
      </c>
      <c r="SUN73" s="49">
        <f t="shared" si="418"/>
        <v>50</v>
      </c>
      <c r="SUO73" s="57">
        <f t="shared" si="419"/>
        <v>18.5</v>
      </c>
      <c r="SUP73" s="59" t="s">
        <v>44</v>
      </c>
      <c r="SUQ73" s="49" t="s">
        <v>44</v>
      </c>
      <c r="SUR73" s="51">
        <v>45117</v>
      </c>
      <c r="SUS73" s="49"/>
      <c r="SUT73" s="49" t="s">
        <v>43</v>
      </c>
      <c r="SUU73" s="49" t="s">
        <v>45</v>
      </c>
      <c r="SUV73" s="49" t="s">
        <v>42</v>
      </c>
      <c r="SUW73" s="49" t="s">
        <v>0</v>
      </c>
      <c r="SUX73" s="49">
        <v>0</v>
      </c>
      <c r="SUY73" s="49">
        <v>1</v>
      </c>
      <c r="SUZ73" s="58">
        <v>2.5</v>
      </c>
      <c r="SVA73" s="58">
        <v>5</v>
      </c>
      <c r="SVB73" s="58">
        <v>4</v>
      </c>
      <c r="SVC73" s="49">
        <f>INDEX($T$2:$T$11,MATCH(SUY73,$R$2:$R$11,0))</f>
        <v>0.37</v>
      </c>
      <c r="SVD73" s="49">
        <f t="shared" si="418"/>
        <v>50</v>
      </c>
      <c r="SVE73" s="57">
        <f t="shared" si="419"/>
        <v>18.5</v>
      </c>
      <c r="SVF73" s="59" t="s">
        <v>44</v>
      </c>
      <c r="SVG73" s="49" t="s">
        <v>44</v>
      </c>
      <c r="SVH73" s="51">
        <v>45117</v>
      </c>
      <c r="SVI73" s="49"/>
      <c r="SVJ73" s="49" t="s">
        <v>43</v>
      </c>
      <c r="SVK73" s="49" t="s">
        <v>45</v>
      </c>
      <c r="SVL73" s="49" t="s">
        <v>42</v>
      </c>
      <c r="SVM73" s="49" t="s">
        <v>0</v>
      </c>
      <c r="SVN73" s="49">
        <v>0</v>
      </c>
      <c r="SVO73" s="49">
        <v>1</v>
      </c>
      <c r="SVP73" s="58">
        <v>2.5</v>
      </c>
      <c r="SVQ73" s="58">
        <v>5</v>
      </c>
      <c r="SVR73" s="58">
        <v>4</v>
      </c>
      <c r="SVS73" s="49">
        <f>INDEX($T$2:$T$11,MATCH(SVO73,$R$2:$R$11,0))</f>
        <v>0.37</v>
      </c>
      <c r="SVT73" s="49">
        <f t="shared" si="418"/>
        <v>50</v>
      </c>
      <c r="SVU73" s="57">
        <f t="shared" si="419"/>
        <v>18.5</v>
      </c>
      <c r="SVV73" s="59" t="s">
        <v>44</v>
      </c>
      <c r="SVW73" s="49" t="s">
        <v>44</v>
      </c>
      <c r="SVX73" s="51">
        <v>45117</v>
      </c>
      <c r="SVY73" s="49"/>
      <c r="SVZ73" s="49" t="s">
        <v>43</v>
      </c>
      <c r="SWA73" s="49" t="s">
        <v>45</v>
      </c>
      <c r="SWB73" s="49" t="s">
        <v>42</v>
      </c>
      <c r="SWC73" s="49" t="s">
        <v>0</v>
      </c>
      <c r="SWD73" s="49">
        <v>0</v>
      </c>
      <c r="SWE73" s="49">
        <v>1</v>
      </c>
      <c r="SWF73" s="58">
        <v>2.5</v>
      </c>
      <c r="SWG73" s="58">
        <v>5</v>
      </c>
      <c r="SWH73" s="58">
        <v>4</v>
      </c>
      <c r="SWI73" s="49">
        <f>INDEX($T$2:$T$11,MATCH(SWE73,$R$2:$R$11,0))</f>
        <v>0.37</v>
      </c>
      <c r="SWJ73" s="49">
        <f t="shared" ref="SWJ73:SYF73" si="420">SWF73*SWG73*SWH73</f>
        <v>50</v>
      </c>
      <c r="SWK73" s="57">
        <f t="shared" ref="SWK73:SYG73" si="421">SWI73*SWJ73</f>
        <v>18.5</v>
      </c>
      <c r="SWL73" s="59" t="s">
        <v>44</v>
      </c>
      <c r="SWM73" s="49" t="s">
        <v>44</v>
      </c>
      <c r="SWN73" s="51">
        <v>45117</v>
      </c>
      <c r="SWO73" s="49"/>
      <c r="SWP73" s="49" t="s">
        <v>43</v>
      </c>
      <c r="SWQ73" s="49" t="s">
        <v>45</v>
      </c>
      <c r="SWR73" s="49" t="s">
        <v>42</v>
      </c>
      <c r="SWS73" s="49" t="s">
        <v>0</v>
      </c>
      <c r="SWT73" s="49">
        <v>0</v>
      </c>
      <c r="SWU73" s="49">
        <v>1</v>
      </c>
      <c r="SWV73" s="58">
        <v>2.5</v>
      </c>
      <c r="SWW73" s="58">
        <v>5</v>
      </c>
      <c r="SWX73" s="58">
        <v>4</v>
      </c>
      <c r="SWY73" s="49">
        <f>INDEX($T$2:$T$11,MATCH(SWU73,$R$2:$R$11,0))</f>
        <v>0.37</v>
      </c>
      <c r="SWZ73" s="49">
        <f t="shared" si="420"/>
        <v>50</v>
      </c>
      <c r="SXA73" s="57">
        <f t="shared" si="421"/>
        <v>18.5</v>
      </c>
      <c r="SXB73" s="59" t="s">
        <v>44</v>
      </c>
      <c r="SXC73" s="49" t="s">
        <v>44</v>
      </c>
      <c r="SXD73" s="51">
        <v>45117</v>
      </c>
      <c r="SXE73" s="49"/>
      <c r="SXF73" s="49" t="s">
        <v>43</v>
      </c>
      <c r="SXG73" s="49" t="s">
        <v>45</v>
      </c>
      <c r="SXH73" s="49" t="s">
        <v>42</v>
      </c>
      <c r="SXI73" s="49" t="s">
        <v>0</v>
      </c>
      <c r="SXJ73" s="49">
        <v>0</v>
      </c>
      <c r="SXK73" s="49">
        <v>1</v>
      </c>
      <c r="SXL73" s="58">
        <v>2.5</v>
      </c>
      <c r="SXM73" s="58">
        <v>5</v>
      </c>
      <c r="SXN73" s="58">
        <v>4</v>
      </c>
      <c r="SXO73" s="49">
        <f>INDEX($T$2:$T$11,MATCH(SXK73,$R$2:$R$11,0))</f>
        <v>0.37</v>
      </c>
      <c r="SXP73" s="49">
        <f t="shared" si="420"/>
        <v>50</v>
      </c>
      <c r="SXQ73" s="57">
        <f t="shared" si="421"/>
        <v>18.5</v>
      </c>
      <c r="SXR73" s="59" t="s">
        <v>44</v>
      </c>
      <c r="SXS73" s="49" t="s">
        <v>44</v>
      </c>
      <c r="SXT73" s="51">
        <v>45117</v>
      </c>
      <c r="SXU73" s="49"/>
      <c r="SXV73" s="49" t="s">
        <v>43</v>
      </c>
      <c r="SXW73" s="49" t="s">
        <v>45</v>
      </c>
      <c r="SXX73" s="49" t="s">
        <v>42</v>
      </c>
      <c r="SXY73" s="49" t="s">
        <v>0</v>
      </c>
      <c r="SXZ73" s="49">
        <v>0</v>
      </c>
      <c r="SYA73" s="49">
        <v>1</v>
      </c>
      <c r="SYB73" s="58">
        <v>2.5</v>
      </c>
      <c r="SYC73" s="58">
        <v>5</v>
      </c>
      <c r="SYD73" s="58">
        <v>4</v>
      </c>
      <c r="SYE73" s="49">
        <f>INDEX($T$2:$T$11,MATCH(SYA73,$R$2:$R$11,0))</f>
        <v>0.37</v>
      </c>
      <c r="SYF73" s="49">
        <f t="shared" si="420"/>
        <v>50</v>
      </c>
      <c r="SYG73" s="57">
        <f t="shared" si="421"/>
        <v>18.5</v>
      </c>
      <c r="SYH73" s="59" t="s">
        <v>44</v>
      </c>
      <c r="SYI73" s="49" t="s">
        <v>44</v>
      </c>
      <c r="SYJ73" s="51">
        <v>45117</v>
      </c>
      <c r="SYK73" s="49"/>
      <c r="SYL73" s="49" t="s">
        <v>43</v>
      </c>
      <c r="SYM73" s="49" t="s">
        <v>45</v>
      </c>
      <c r="SYN73" s="49" t="s">
        <v>42</v>
      </c>
      <c r="SYO73" s="49" t="s">
        <v>0</v>
      </c>
      <c r="SYP73" s="49">
        <v>0</v>
      </c>
      <c r="SYQ73" s="49">
        <v>1</v>
      </c>
      <c r="SYR73" s="58">
        <v>2.5</v>
      </c>
      <c r="SYS73" s="58">
        <v>5</v>
      </c>
      <c r="SYT73" s="58">
        <v>4</v>
      </c>
      <c r="SYU73" s="49">
        <f>INDEX($T$2:$T$11,MATCH(SYQ73,$R$2:$R$11,0))</f>
        <v>0.37</v>
      </c>
      <c r="SYV73" s="49">
        <f t="shared" ref="SYV73:TAR73" si="422">SYR73*SYS73*SYT73</f>
        <v>50</v>
      </c>
      <c r="SYW73" s="57">
        <f t="shared" ref="SYW73:TAS73" si="423">SYU73*SYV73</f>
        <v>18.5</v>
      </c>
      <c r="SYX73" s="59" t="s">
        <v>44</v>
      </c>
      <c r="SYY73" s="49" t="s">
        <v>44</v>
      </c>
      <c r="SYZ73" s="51">
        <v>45117</v>
      </c>
      <c r="SZA73" s="49"/>
      <c r="SZB73" s="49" t="s">
        <v>43</v>
      </c>
      <c r="SZC73" s="49" t="s">
        <v>45</v>
      </c>
      <c r="SZD73" s="49" t="s">
        <v>42</v>
      </c>
      <c r="SZE73" s="49" t="s">
        <v>0</v>
      </c>
      <c r="SZF73" s="49">
        <v>0</v>
      </c>
      <c r="SZG73" s="49">
        <v>1</v>
      </c>
      <c r="SZH73" s="58">
        <v>2.5</v>
      </c>
      <c r="SZI73" s="58">
        <v>5</v>
      </c>
      <c r="SZJ73" s="58">
        <v>4</v>
      </c>
      <c r="SZK73" s="49">
        <f>INDEX($T$2:$T$11,MATCH(SZG73,$R$2:$R$11,0))</f>
        <v>0.37</v>
      </c>
      <c r="SZL73" s="49">
        <f t="shared" si="422"/>
        <v>50</v>
      </c>
      <c r="SZM73" s="57">
        <f t="shared" si="423"/>
        <v>18.5</v>
      </c>
      <c r="SZN73" s="59" t="s">
        <v>44</v>
      </c>
      <c r="SZO73" s="49" t="s">
        <v>44</v>
      </c>
      <c r="SZP73" s="51">
        <v>45117</v>
      </c>
      <c r="SZQ73" s="49"/>
      <c r="SZR73" s="49" t="s">
        <v>43</v>
      </c>
      <c r="SZS73" s="49" t="s">
        <v>45</v>
      </c>
      <c r="SZT73" s="49" t="s">
        <v>42</v>
      </c>
      <c r="SZU73" s="49" t="s">
        <v>0</v>
      </c>
      <c r="SZV73" s="49">
        <v>0</v>
      </c>
      <c r="SZW73" s="49">
        <v>1</v>
      </c>
      <c r="SZX73" s="58">
        <v>2.5</v>
      </c>
      <c r="SZY73" s="58">
        <v>5</v>
      </c>
      <c r="SZZ73" s="58">
        <v>4</v>
      </c>
      <c r="TAA73" s="49">
        <f>INDEX($T$2:$T$11,MATCH(SZW73,$R$2:$R$11,0))</f>
        <v>0.37</v>
      </c>
      <c r="TAB73" s="49">
        <f t="shared" si="422"/>
        <v>50</v>
      </c>
      <c r="TAC73" s="57">
        <f t="shared" si="423"/>
        <v>18.5</v>
      </c>
      <c r="TAD73" s="59" t="s">
        <v>44</v>
      </c>
      <c r="TAE73" s="49" t="s">
        <v>44</v>
      </c>
      <c r="TAF73" s="51">
        <v>45117</v>
      </c>
      <c r="TAG73" s="49"/>
      <c r="TAH73" s="49" t="s">
        <v>43</v>
      </c>
      <c r="TAI73" s="49" t="s">
        <v>45</v>
      </c>
      <c r="TAJ73" s="49" t="s">
        <v>42</v>
      </c>
      <c r="TAK73" s="49" t="s">
        <v>0</v>
      </c>
      <c r="TAL73" s="49">
        <v>0</v>
      </c>
      <c r="TAM73" s="49">
        <v>1</v>
      </c>
      <c r="TAN73" s="58">
        <v>2.5</v>
      </c>
      <c r="TAO73" s="58">
        <v>5</v>
      </c>
      <c r="TAP73" s="58">
        <v>4</v>
      </c>
      <c r="TAQ73" s="49">
        <f>INDEX($T$2:$T$11,MATCH(TAM73,$R$2:$R$11,0))</f>
        <v>0.37</v>
      </c>
      <c r="TAR73" s="49">
        <f t="shared" si="422"/>
        <v>50</v>
      </c>
      <c r="TAS73" s="57">
        <f t="shared" si="423"/>
        <v>18.5</v>
      </c>
      <c r="TAT73" s="59" t="s">
        <v>44</v>
      </c>
      <c r="TAU73" s="49" t="s">
        <v>44</v>
      </c>
      <c r="TAV73" s="51">
        <v>45117</v>
      </c>
      <c r="TAW73" s="49"/>
      <c r="TAX73" s="49" t="s">
        <v>43</v>
      </c>
      <c r="TAY73" s="49" t="s">
        <v>45</v>
      </c>
      <c r="TAZ73" s="49" t="s">
        <v>42</v>
      </c>
      <c r="TBA73" s="49" t="s">
        <v>0</v>
      </c>
      <c r="TBB73" s="49">
        <v>0</v>
      </c>
      <c r="TBC73" s="49">
        <v>1</v>
      </c>
      <c r="TBD73" s="58">
        <v>2.5</v>
      </c>
      <c r="TBE73" s="58">
        <v>5</v>
      </c>
      <c r="TBF73" s="58">
        <v>4</v>
      </c>
      <c r="TBG73" s="49">
        <f>INDEX($T$2:$T$11,MATCH(TBC73,$R$2:$R$11,0))</f>
        <v>0.37</v>
      </c>
      <c r="TBH73" s="49">
        <f t="shared" ref="TBH73:TDD73" si="424">TBD73*TBE73*TBF73</f>
        <v>50</v>
      </c>
      <c r="TBI73" s="57">
        <f t="shared" ref="TBI73:TDE73" si="425">TBG73*TBH73</f>
        <v>18.5</v>
      </c>
      <c r="TBJ73" s="59" t="s">
        <v>44</v>
      </c>
      <c r="TBK73" s="49" t="s">
        <v>44</v>
      </c>
      <c r="TBL73" s="51">
        <v>45117</v>
      </c>
      <c r="TBM73" s="49"/>
      <c r="TBN73" s="49" t="s">
        <v>43</v>
      </c>
      <c r="TBO73" s="49" t="s">
        <v>45</v>
      </c>
      <c r="TBP73" s="49" t="s">
        <v>42</v>
      </c>
      <c r="TBQ73" s="49" t="s">
        <v>0</v>
      </c>
      <c r="TBR73" s="49">
        <v>0</v>
      </c>
      <c r="TBS73" s="49">
        <v>1</v>
      </c>
      <c r="TBT73" s="58">
        <v>2.5</v>
      </c>
      <c r="TBU73" s="58">
        <v>5</v>
      </c>
      <c r="TBV73" s="58">
        <v>4</v>
      </c>
      <c r="TBW73" s="49">
        <f>INDEX($T$2:$T$11,MATCH(TBS73,$R$2:$R$11,0))</f>
        <v>0.37</v>
      </c>
      <c r="TBX73" s="49">
        <f t="shared" si="424"/>
        <v>50</v>
      </c>
      <c r="TBY73" s="57">
        <f t="shared" si="425"/>
        <v>18.5</v>
      </c>
      <c r="TBZ73" s="59" t="s">
        <v>44</v>
      </c>
      <c r="TCA73" s="49" t="s">
        <v>44</v>
      </c>
      <c r="TCB73" s="51">
        <v>45117</v>
      </c>
      <c r="TCC73" s="49"/>
      <c r="TCD73" s="49" t="s">
        <v>43</v>
      </c>
      <c r="TCE73" s="49" t="s">
        <v>45</v>
      </c>
      <c r="TCF73" s="49" t="s">
        <v>42</v>
      </c>
      <c r="TCG73" s="49" t="s">
        <v>0</v>
      </c>
      <c r="TCH73" s="49">
        <v>0</v>
      </c>
      <c r="TCI73" s="49">
        <v>1</v>
      </c>
      <c r="TCJ73" s="58">
        <v>2.5</v>
      </c>
      <c r="TCK73" s="58">
        <v>5</v>
      </c>
      <c r="TCL73" s="58">
        <v>4</v>
      </c>
      <c r="TCM73" s="49">
        <f>INDEX($T$2:$T$11,MATCH(TCI73,$R$2:$R$11,0))</f>
        <v>0.37</v>
      </c>
      <c r="TCN73" s="49">
        <f t="shared" si="424"/>
        <v>50</v>
      </c>
      <c r="TCO73" s="57">
        <f t="shared" si="425"/>
        <v>18.5</v>
      </c>
      <c r="TCP73" s="59" t="s">
        <v>44</v>
      </c>
      <c r="TCQ73" s="49" t="s">
        <v>44</v>
      </c>
      <c r="TCR73" s="51">
        <v>45117</v>
      </c>
      <c r="TCS73" s="49"/>
      <c r="TCT73" s="49" t="s">
        <v>43</v>
      </c>
      <c r="TCU73" s="49" t="s">
        <v>45</v>
      </c>
      <c r="TCV73" s="49" t="s">
        <v>42</v>
      </c>
      <c r="TCW73" s="49" t="s">
        <v>0</v>
      </c>
      <c r="TCX73" s="49">
        <v>0</v>
      </c>
      <c r="TCY73" s="49">
        <v>1</v>
      </c>
      <c r="TCZ73" s="58">
        <v>2.5</v>
      </c>
      <c r="TDA73" s="58">
        <v>5</v>
      </c>
      <c r="TDB73" s="58">
        <v>4</v>
      </c>
      <c r="TDC73" s="49">
        <f>INDEX($T$2:$T$11,MATCH(TCY73,$R$2:$R$11,0))</f>
        <v>0.37</v>
      </c>
      <c r="TDD73" s="49">
        <f t="shared" si="424"/>
        <v>50</v>
      </c>
      <c r="TDE73" s="57">
        <f t="shared" si="425"/>
        <v>18.5</v>
      </c>
      <c r="TDF73" s="59" t="s">
        <v>44</v>
      </c>
      <c r="TDG73" s="49" t="s">
        <v>44</v>
      </c>
      <c r="TDH73" s="51">
        <v>45117</v>
      </c>
      <c r="TDI73" s="49"/>
      <c r="TDJ73" s="49" t="s">
        <v>43</v>
      </c>
      <c r="TDK73" s="49" t="s">
        <v>45</v>
      </c>
      <c r="TDL73" s="49" t="s">
        <v>42</v>
      </c>
      <c r="TDM73" s="49" t="s">
        <v>0</v>
      </c>
      <c r="TDN73" s="49">
        <v>0</v>
      </c>
      <c r="TDO73" s="49">
        <v>1</v>
      </c>
      <c r="TDP73" s="58">
        <v>2.5</v>
      </c>
      <c r="TDQ73" s="58">
        <v>5</v>
      </c>
      <c r="TDR73" s="58">
        <v>4</v>
      </c>
      <c r="TDS73" s="49">
        <f>INDEX($T$2:$T$11,MATCH(TDO73,$R$2:$R$11,0))</f>
        <v>0.37</v>
      </c>
      <c r="TDT73" s="49">
        <f t="shared" ref="TDT73:TFP73" si="426">TDP73*TDQ73*TDR73</f>
        <v>50</v>
      </c>
      <c r="TDU73" s="57">
        <f t="shared" ref="TDU73:TFQ73" si="427">TDS73*TDT73</f>
        <v>18.5</v>
      </c>
      <c r="TDV73" s="59" t="s">
        <v>44</v>
      </c>
      <c r="TDW73" s="49" t="s">
        <v>44</v>
      </c>
      <c r="TDX73" s="51">
        <v>45117</v>
      </c>
      <c r="TDY73" s="49"/>
      <c r="TDZ73" s="49" t="s">
        <v>43</v>
      </c>
      <c r="TEA73" s="49" t="s">
        <v>45</v>
      </c>
      <c r="TEB73" s="49" t="s">
        <v>42</v>
      </c>
      <c r="TEC73" s="49" t="s">
        <v>0</v>
      </c>
      <c r="TED73" s="49">
        <v>0</v>
      </c>
      <c r="TEE73" s="49">
        <v>1</v>
      </c>
      <c r="TEF73" s="58">
        <v>2.5</v>
      </c>
      <c r="TEG73" s="58">
        <v>5</v>
      </c>
      <c r="TEH73" s="58">
        <v>4</v>
      </c>
      <c r="TEI73" s="49">
        <f>INDEX($T$2:$T$11,MATCH(TEE73,$R$2:$R$11,0))</f>
        <v>0.37</v>
      </c>
      <c r="TEJ73" s="49">
        <f t="shared" si="426"/>
        <v>50</v>
      </c>
      <c r="TEK73" s="57">
        <f t="shared" si="427"/>
        <v>18.5</v>
      </c>
      <c r="TEL73" s="59" t="s">
        <v>44</v>
      </c>
      <c r="TEM73" s="49" t="s">
        <v>44</v>
      </c>
      <c r="TEN73" s="51">
        <v>45117</v>
      </c>
      <c r="TEO73" s="49"/>
      <c r="TEP73" s="49" t="s">
        <v>43</v>
      </c>
      <c r="TEQ73" s="49" t="s">
        <v>45</v>
      </c>
      <c r="TER73" s="49" t="s">
        <v>42</v>
      </c>
      <c r="TES73" s="49" t="s">
        <v>0</v>
      </c>
      <c r="TET73" s="49">
        <v>0</v>
      </c>
      <c r="TEU73" s="49">
        <v>1</v>
      </c>
      <c r="TEV73" s="58">
        <v>2.5</v>
      </c>
      <c r="TEW73" s="58">
        <v>5</v>
      </c>
      <c r="TEX73" s="58">
        <v>4</v>
      </c>
      <c r="TEY73" s="49">
        <f>INDEX($T$2:$T$11,MATCH(TEU73,$R$2:$R$11,0))</f>
        <v>0.37</v>
      </c>
      <c r="TEZ73" s="49">
        <f t="shared" si="426"/>
        <v>50</v>
      </c>
      <c r="TFA73" s="57">
        <f t="shared" si="427"/>
        <v>18.5</v>
      </c>
      <c r="TFB73" s="59" t="s">
        <v>44</v>
      </c>
      <c r="TFC73" s="49" t="s">
        <v>44</v>
      </c>
      <c r="TFD73" s="51">
        <v>45117</v>
      </c>
      <c r="TFE73" s="49"/>
      <c r="TFF73" s="49" t="s">
        <v>43</v>
      </c>
      <c r="TFG73" s="49" t="s">
        <v>45</v>
      </c>
      <c r="TFH73" s="49" t="s">
        <v>42</v>
      </c>
      <c r="TFI73" s="49" t="s">
        <v>0</v>
      </c>
      <c r="TFJ73" s="49">
        <v>0</v>
      </c>
      <c r="TFK73" s="49">
        <v>1</v>
      </c>
      <c r="TFL73" s="58">
        <v>2.5</v>
      </c>
      <c r="TFM73" s="58">
        <v>5</v>
      </c>
      <c r="TFN73" s="58">
        <v>4</v>
      </c>
      <c r="TFO73" s="49">
        <f>INDEX($T$2:$T$11,MATCH(TFK73,$R$2:$R$11,0))</f>
        <v>0.37</v>
      </c>
      <c r="TFP73" s="49">
        <f t="shared" si="426"/>
        <v>50</v>
      </c>
      <c r="TFQ73" s="57">
        <f t="shared" si="427"/>
        <v>18.5</v>
      </c>
      <c r="TFR73" s="59" t="s">
        <v>44</v>
      </c>
      <c r="TFS73" s="49" t="s">
        <v>44</v>
      </c>
      <c r="TFT73" s="51">
        <v>45117</v>
      </c>
      <c r="TFU73" s="49"/>
      <c r="TFV73" s="49" t="s">
        <v>43</v>
      </c>
      <c r="TFW73" s="49" t="s">
        <v>45</v>
      </c>
      <c r="TFX73" s="49" t="s">
        <v>42</v>
      </c>
      <c r="TFY73" s="49" t="s">
        <v>0</v>
      </c>
      <c r="TFZ73" s="49">
        <v>0</v>
      </c>
      <c r="TGA73" s="49">
        <v>1</v>
      </c>
      <c r="TGB73" s="58">
        <v>2.5</v>
      </c>
      <c r="TGC73" s="58">
        <v>5</v>
      </c>
      <c r="TGD73" s="58">
        <v>4</v>
      </c>
      <c r="TGE73" s="49">
        <f>INDEX($T$2:$T$11,MATCH(TGA73,$R$2:$R$11,0))</f>
        <v>0.37</v>
      </c>
      <c r="TGF73" s="49">
        <f t="shared" ref="TGF73:TIB73" si="428">TGB73*TGC73*TGD73</f>
        <v>50</v>
      </c>
      <c r="TGG73" s="57">
        <f t="shared" ref="TGG73:TIC73" si="429">TGE73*TGF73</f>
        <v>18.5</v>
      </c>
      <c r="TGH73" s="59" t="s">
        <v>44</v>
      </c>
      <c r="TGI73" s="49" t="s">
        <v>44</v>
      </c>
      <c r="TGJ73" s="51">
        <v>45117</v>
      </c>
      <c r="TGK73" s="49"/>
      <c r="TGL73" s="49" t="s">
        <v>43</v>
      </c>
      <c r="TGM73" s="49" t="s">
        <v>45</v>
      </c>
      <c r="TGN73" s="49" t="s">
        <v>42</v>
      </c>
      <c r="TGO73" s="49" t="s">
        <v>0</v>
      </c>
      <c r="TGP73" s="49">
        <v>0</v>
      </c>
      <c r="TGQ73" s="49">
        <v>1</v>
      </c>
      <c r="TGR73" s="58">
        <v>2.5</v>
      </c>
      <c r="TGS73" s="58">
        <v>5</v>
      </c>
      <c r="TGT73" s="58">
        <v>4</v>
      </c>
      <c r="TGU73" s="49">
        <f>INDEX($T$2:$T$11,MATCH(TGQ73,$R$2:$R$11,0))</f>
        <v>0.37</v>
      </c>
      <c r="TGV73" s="49">
        <f t="shared" si="428"/>
        <v>50</v>
      </c>
      <c r="TGW73" s="57">
        <f t="shared" si="429"/>
        <v>18.5</v>
      </c>
      <c r="TGX73" s="59" t="s">
        <v>44</v>
      </c>
      <c r="TGY73" s="49" t="s">
        <v>44</v>
      </c>
      <c r="TGZ73" s="51">
        <v>45117</v>
      </c>
      <c r="THA73" s="49"/>
      <c r="THB73" s="49" t="s">
        <v>43</v>
      </c>
      <c r="THC73" s="49" t="s">
        <v>45</v>
      </c>
      <c r="THD73" s="49" t="s">
        <v>42</v>
      </c>
      <c r="THE73" s="49" t="s">
        <v>0</v>
      </c>
      <c r="THF73" s="49">
        <v>0</v>
      </c>
      <c r="THG73" s="49">
        <v>1</v>
      </c>
      <c r="THH73" s="58">
        <v>2.5</v>
      </c>
      <c r="THI73" s="58">
        <v>5</v>
      </c>
      <c r="THJ73" s="58">
        <v>4</v>
      </c>
      <c r="THK73" s="49">
        <f>INDEX($T$2:$T$11,MATCH(THG73,$R$2:$R$11,0))</f>
        <v>0.37</v>
      </c>
      <c r="THL73" s="49">
        <f t="shared" si="428"/>
        <v>50</v>
      </c>
      <c r="THM73" s="57">
        <f t="shared" si="429"/>
        <v>18.5</v>
      </c>
      <c r="THN73" s="59" t="s">
        <v>44</v>
      </c>
      <c r="THO73" s="49" t="s">
        <v>44</v>
      </c>
      <c r="THP73" s="51">
        <v>45117</v>
      </c>
      <c r="THQ73" s="49"/>
      <c r="THR73" s="49" t="s">
        <v>43</v>
      </c>
      <c r="THS73" s="49" t="s">
        <v>45</v>
      </c>
      <c r="THT73" s="49" t="s">
        <v>42</v>
      </c>
      <c r="THU73" s="49" t="s">
        <v>0</v>
      </c>
      <c r="THV73" s="49">
        <v>0</v>
      </c>
      <c r="THW73" s="49">
        <v>1</v>
      </c>
      <c r="THX73" s="58">
        <v>2.5</v>
      </c>
      <c r="THY73" s="58">
        <v>5</v>
      </c>
      <c r="THZ73" s="58">
        <v>4</v>
      </c>
      <c r="TIA73" s="49">
        <f>INDEX($T$2:$T$11,MATCH(THW73,$R$2:$R$11,0))</f>
        <v>0.37</v>
      </c>
      <c r="TIB73" s="49">
        <f t="shared" si="428"/>
        <v>50</v>
      </c>
      <c r="TIC73" s="57">
        <f t="shared" si="429"/>
        <v>18.5</v>
      </c>
      <c r="TID73" s="59" t="s">
        <v>44</v>
      </c>
      <c r="TIE73" s="49" t="s">
        <v>44</v>
      </c>
      <c r="TIF73" s="51">
        <v>45117</v>
      </c>
      <c r="TIG73" s="49"/>
      <c r="TIH73" s="49" t="s">
        <v>43</v>
      </c>
      <c r="TII73" s="49" t="s">
        <v>45</v>
      </c>
      <c r="TIJ73" s="49" t="s">
        <v>42</v>
      </c>
      <c r="TIK73" s="49" t="s">
        <v>0</v>
      </c>
      <c r="TIL73" s="49">
        <v>0</v>
      </c>
      <c r="TIM73" s="49">
        <v>1</v>
      </c>
      <c r="TIN73" s="58">
        <v>2.5</v>
      </c>
      <c r="TIO73" s="58">
        <v>5</v>
      </c>
      <c r="TIP73" s="58">
        <v>4</v>
      </c>
      <c r="TIQ73" s="49">
        <f>INDEX($T$2:$T$11,MATCH(TIM73,$R$2:$R$11,0))</f>
        <v>0.37</v>
      </c>
      <c r="TIR73" s="49">
        <f t="shared" ref="TIR73:TKN73" si="430">TIN73*TIO73*TIP73</f>
        <v>50</v>
      </c>
      <c r="TIS73" s="57">
        <f t="shared" ref="TIS73:TKO73" si="431">TIQ73*TIR73</f>
        <v>18.5</v>
      </c>
      <c r="TIT73" s="59" t="s">
        <v>44</v>
      </c>
      <c r="TIU73" s="49" t="s">
        <v>44</v>
      </c>
      <c r="TIV73" s="51">
        <v>45117</v>
      </c>
      <c r="TIW73" s="49"/>
      <c r="TIX73" s="49" t="s">
        <v>43</v>
      </c>
      <c r="TIY73" s="49" t="s">
        <v>45</v>
      </c>
      <c r="TIZ73" s="49" t="s">
        <v>42</v>
      </c>
      <c r="TJA73" s="49" t="s">
        <v>0</v>
      </c>
      <c r="TJB73" s="49">
        <v>0</v>
      </c>
      <c r="TJC73" s="49">
        <v>1</v>
      </c>
      <c r="TJD73" s="58">
        <v>2.5</v>
      </c>
      <c r="TJE73" s="58">
        <v>5</v>
      </c>
      <c r="TJF73" s="58">
        <v>4</v>
      </c>
      <c r="TJG73" s="49">
        <f>INDEX($T$2:$T$11,MATCH(TJC73,$R$2:$R$11,0))</f>
        <v>0.37</v>
      </c>
      <c r="TJH73" s="49">
        <f t="shared" si="430"/>
        <v>50</v>
      </c>
      <c r="TJI73" s="57">
        <f t="shared" si="431"/>
        <v>18.5</v>
      </c>
      <c r="TJJ73" s="59" t="s">
        <v>44</v>
      </c>
      <c r="TJK73" s="49" t="s">
        <v>44</v>
      </c>
      <c r="TJL73" s="51">
        <v>45117</v>
      </c>
      <c r="TJM73" s="49"/>
      <c r="TJN73" s="49" t="s">
        <v>43</v>
      </c>
      <c r="TJO73" s="49" t="s">
        <v>45</v>
      </c>
      <c r="TJP73" s="49" t="s">
        <v>42</v>
      </c>
      <c r="TJQ73" s="49" t="s">
        <v>0</v>
      </c>
      <c r="TJR73" s="49">
        <v>0</v>
      </c>
      <c r="TJS73" s="49">
        <v>1</v>
      </c>
      <c r="TJT73" s="58">
        <v>2.5</v>
      </c>
      <c r="TJU73" s="58">
        <v>5</v>
      </c>
      <c r="TJV73" s="58">
        <v>4</v>
      </c>
      <c r="TJW73" s="49">
        <f>INDEX($T$2:$T$11,MATCH(TJS73,$R$2:$R$11,0))</f>
        <v>0.37</v>
      </c>
      <c r="TJX73" s="49">
        <f t="shared" si="430"/>
        <v>50</v>
      </c>
      <c r="TJY73" s="57">
        <f t="shared" si="431"/>
        <v>18.5</v>
      </c>
      <c r="TJZ73" s="59" t="s">
        <v>44</v>
      </c>
      <c r="TKA73" s="49" t="s">
        <v>44</v>
      </c>
      <c r="TKB73" s="51">
        <v>45117</v>
      </c>
      <c r="TKC73" s="49"/>
      <c r="TKD73" s="49" t="s">
        <v>43</v>
      </c>
      <c r="TKE73" s="49" t="s">
        <v>45</v>
      </c>
      <c r="TKF73" s="49" t="s">
        <v>42</v>
      </c>
      <c r="TKG73" s="49" t="s">
        <v>0</v>
      </c>
      <c r="TKH73" s="49">
        <v>0</v>
      </c>
      <c r="TKI73" s="49">
        <v>1</v>
      </c>
      <c r="TKJ73" s="58">
        <v>2.5</v>
      </c>
      <c r="TKK73" s="58">
        <v>5</v>
      </c>
      <c r="TKL73" s="58">
        <v>4</v>
      </c>
      <c r="TKM73" s="49">
        <f>INDEX($T$2:$T$11,MATCH(TKI73,$R$2:$R$11,0))</f>
        <v>0.37</v>
      </c>
      <c r="TKN73" s="49">
        <f t="shared" si="430"/>
        <v>50</v>
      </c>
      <c r="TKO73" s="57">
        <f t="shared" si="431"/>
        <v>18.5</v>
      </c>
      <c r="TKP73" s="59" t="s">
        <v>44</v>
      </c>
      <c r="TKQ73" s="49" t="s">
        <v>44</v>
      </c>
      <c r="TKR73" s="51">
        <v>45117</v>
      </c>
      <c r="TKS73" s="49"/>
      <c r="TKT73" s="49" t="s">
        <v>43</v>
      </c>
      <c r="TKU73" s="49" t="s">
        <v>45</v>
      </c>
      <c r="TKV73" s="49" t="s">
        <v>42</v>
      </c>
      <c r="TKW73" s="49" t="s">
        <v>0</v>
      </c>
      <c r="TKX73" s="49">
        <v>0</v>
      </c>
      <c r="TKY73" s="49">
        <v>1</v>
      </c>
      <c r="TKZ73" s="58">
        <v>2.5</v>
      </c>
      <c r="TLA73" s="58">
        <v>5</v>
      </c>
      <c r="TLB73" s="58">
        <v>4</v>
      </c>
      <c r="TLC73" s="49">
        <f>INDEX($T$2:$T$11,MATCH(TKY73,$R$2:$R$11,0))</f>
        <v>0.37</v>
      </c>
      <c r="TLD73" s="49">
        <f t="shared" ref="TLD73:TMZ73" si="432">TKZ73*TLA73*TLB73</f>
        <v>50</v>
      </c>
      <c r="TLE73" s="57">
        <f t="shared" ref="TLE73:TNA73" si="433">TLC73*TLD73</f>
        <v>18.5</v>
      </c>
      <c r="TLF73" s="59" t="s">
        <v>44</v>
      </c>
      <c r="TLG73" s="49" t="s">
        <v>44</v>
      </c>
      <c r="TLH73" s="51">
        <v>45117</v>
      </c>
      <c r="TLI73" s="49"/>
      <c r="TLJ73" s="49" t="s">
        <v>43</v>
      </c>
      <c r="TLK73" s="49" t="s">
        <v>45</v>
      </c>
      <c r="TLL73" s="49" t="s">
        <v>42</v>
      </c>
      <c r="TLM73" s="49" t="s">
        <v>0</v>
      </c>
      <c r="TLN73" s="49">
        <v>0</v>
      </c>
      <c r="TLO73" s="49">
        <v>1</v>
      </c>
      <c r="TLP73" s="58">
        <v>2.5</v>
      </c>
      <c r="TLQ73" s="58">
        <v>5</v>
      </c>
      <c r="TLR73" s="58">
        <v>4</v>
      </c>
      <c r="TLS73" s="49">
        <f>INDEX($T$2:$T$11,MATCH(TLO73,$R$2:$R$11,0))</f>
        <v>0.37</v>
      </c>
      <c r="TLT73" s="49">
        <f t="shared" si="432"/>
        <v>50</v>
      </c>
      <c r="TLU73" s="57">
        <f t="shared" si="433"/>
        <v>18.5</v>
      </c>
      <c r="TLV73" s="59" t="s">
        <v>44</v>
      </c>
      <c r="TLW73" s="49" t="s">
        <v>44</v>
      </c>
      <c r="TLX73" s="51">
        <v>45117</v>
      </c>
      <c r="TLY73" s="49"/>
      <c r="TLZ73" s="49" t="s">
        <v>43</v>
      </c>
      <c r="TMA73" s="49" t="s">
        <v>45</v>
      </c>
      <c r="TMB73" s="49" t="s">
        <v>42</v>
      </c>
      <c r="TMC73" s="49" t="s">
        <v>0</v>
      </c>
      <c r="TMD73" s="49">
        <v>0</v>
      </c>
      <c r="TME73" s="49">
        <v>1</v>
      </c>
      <c r="TMF73" s="58">
        <v>2.5</v>
      </c>
      <c r="TMG73" s="58">
        <v>5</v>
      </c>
      <c r="TMH73" s="58">
        <v>4</v>
      </c>
      <c r="TMI73" s="49">
        <f>INDEX($T$2:$T$11,MATCH(TME73,$R$2:$R$11,0))</f>
        <v>0.37</v>
      </c>
      <c r="TMJ73" s="49">
        <f t="shared" si="432"/>
        <v>50</v>
      </c>
      <c r="TMK73" s="57">
        <f t="shared" si="433"/>
        <v>18.5</v>
      </c>
      <c r="TML73" s="59" t="s">
        <v>44</v>
      </c>
      <c r="TMM73" s="49" t="s">
        <v>44</v>
      </c>
      <c r="TMN73" s="51">
        <v>45117</v>
      </c>
      <c r="TMO73" s="49"/>
      <c r="TMP73" s="49" t="s">
        <v>43</v>
      </c>
      <c r="TMQ73" s="49" t="s">
        <v>45</v>
      </c>
      <c r="TMR73" s="49" t="s">
        <v>42</v>
      </c>
      <c r="TMS73" s="49" t="s">
        <v>0</v>
      </c>
      <c r="TMT73" s="49">
        <v>0</v>
      </c>
      <c r="TMU73" s="49">
        <v>1</v>
      </c>
      <c r="TMV73" s="58">
        <v>2.5</v>
      </c>
      <c r="TMW73" s="58">
        <v>5</v>
      </c>
      <c r="TMX73" s="58">
        <v>4</v>
      </c>
      <c r="TMY73" s="49">
        <f>INDEX($T$2:$T$11,MATCH(TMU73,$R$2:$R$11,0))</f>
        <v>0.37</v>
      </c>
      <c r="TMZ73" s="49">
        <f t="shared" si="432"/>
        <v>50</v>
      </c>
      <c r="TNA73" s="57">
        <f t="shared" si="433"/>
        <v>18.5</v>
      </c>
      <c r="TNB73" s="59" t="s">
        <v>44</v>
      </c>
      <c r="TNC73" s="49" t="s">
        <v>44</v>
      </c>
      <c r="TND73" s="51">
        <v>45117</v>
      </c>
      <c r="TNE73" s="49"/>
      <c r="TNF73" s="49" t="s">
        <v>43</v>
      </c>
      <c r="TNG73" s="49" t="s">
        <v>45</v>
      </c>
      <c r="TNH73" s="49" t="s">
        <v>42</v>
      </c>
      <c r="TNI73" s="49" t="s">
        <v>0</v>
      </c>
      <c r="TNJ73" s="49">
        <v>0</v>
      </c>
      <c r="TNK73" s="49">
        <v>1</v>
      </c>
      <c r="TNL73" s="58">
        <v>2.5</v>
      </c>
      <c r="TNM73" s="58">
        <v>5</v>
      </c>
      <c r="TNN73" s="58">
        <v>4</v>
      </c>
      <c r="TNO73" s="49">
        <f>INDEX($T$2:$T$11,MATCH(TNK73,$R$2:$R$11,0))</f>
        <v>0.37</v>
      </c>
      <c r="TNP73" s="49">
        <f t="shared" ref="TNP73:TPL73" si="434">TNL73*TNM73*TNN73</f>
        <v>50</v>
      </c>
      <c r="TNQ73" s="57">
        <f t="shared" ref="TNQ73:TPM73" si="435">TNO73*TNP73</f>
        <v>18.5</v>
      </c>
      <c r="TNR73" s="59" t="s">
        <v>44</v>
      </c>
      <c r="TNS73" s="49" t="s">
        <v>44</v>
      </c>
      <c r="TNT73" s="51">
        <v>45117</v>
      </c>
      <c r="TNU73" s="49"/>
      <c r="TNV73" s="49" t="s">
        <v>43</v>
      </c>
      <c r="TNW73" s="49" t="s">
        <v>45</v>
      </c>
      <c r="TNX73" s="49" t="s">
        <v>42</v>
      </c>
      <c r="TNY73" s="49" t="s">
        <v>0</v>
      </c>
      <c r="TNZ73" s="49">
        <v>0</v>
      </c>
      <c r="TOA73" s="49">
        <v>1</v>
      </c>
      <c r="TOB73" s="58">
        <v>2.5</v>
      </c>
      <c r="TOC73" s="58">
        <v>5</v>
      </c>
      <c r="TOD73" s="58">
        <v>4</v>
      </c>
      <c r="TOE73" s="49">
        <f>INDEX($T$2:$T$11,MATCH(TOA73,$R$2:$R$11,0))</f>
        <v>0.37</v>
      </c>
      <c r="TOF73" s="49">
        <f t="shared" si="434"/>
        <v>50</v>
      </c>
      <c r="TOG73" s="57">
        <f t="shared" si="435"/>
        <v>18.5</v>
      </c>
      <c r="TOH73" s="59" t="s">
        <v>44</v>
      </c>
      <c r="TOI73" s="49" t="s">
        <v>44</v>
      </c>
      <c r="TOJ73" s="51">
        <v>45117</v>
      </c>
      <c r="TOK73" s="49"/>
      <c r="TOL73" s="49" t="s">
        <v>43</v>
      </c>
      <c r="TOM73" s="49" t="s">
        <v>45</v>
      </c>
      <c r="TON73" s="49" t="s">
        <v>42</v>
      </c>
      <c r="TOO73" s="49" t="s">
        <v>0</v>
      </c>
      <c r="TOP73" s="49">
        <v>0</v>
      </c>
      <c r="TOQ73" s="49">
        <v>1</v>
      </c>
      <c r="TOR73" s="58">
        <v>2.5</v>
      </c>
      <c r="TOS73" s="58">
        <v>5</v>
      </c>
      <c r="TOT73" s="58">
        <v>4</v>
      </c>
      <c r="TOU73" s="49">
        <f>INDEX($T$2:$T$11,MATCH(TOQ73,$R$2:$R$11,0))</f>
        <v>0.37</v>
      </c>
      <c r="TOV73" s="49">
        <f t="shared" si="434"/>
        <v>50</v>
      </c>
      <c r="TOW73" s="57">
        <f t="shared" si="435"/>
        <v>18.5</v>
      </c>
      <c r="TOX73" s="59" t="s">
        <v>44</v>
      </c>
      <c r="TOY73" s="49" t="s">
        <v>44</v>
      </c>
      <c r="TOZ73" s="51">
        <v>45117</v>
      </c>
      <c r="TPA73" s="49"/>
      <c r="TPB73" s="49" t="s">
        <v>43</v>
      </c>
      <c r="TPC73" s="49" t="s">
        <v>45</v>
      </c>
      <c r="TPD73" s="49" t="s">
        <v>42</v>
      </c>
      <c r="TPE73" s="49" t="s">
        <v>0</v>
      </c>
      <c r="TPF73" s="49">
        <v>0</v>
      </c>
      <c r="TPG73" s="49">
        <v>1</v>
      </c>
      <c r="TPH73" s="58">
        <v>2.5</v>
      </c>
      <c r="TPI73" s="58">
        <v>5</v>
      </c>
      <c r="TPJ73" s="58">
        <v>4</v>
      </c>
      <c r="TPK73" s="49">
        <f>INDEX($T$2:$T$11,MATCH(TPG73,$R$2:$R$11,0))</f>
        <v>0.37</v>
      </c>
      <c r="TPL73" s="49">
        <f t="shared" si="434"/>
        <v>50</v>
      </c>
      <c r="TPM73" s="57">
        <f t="shared" si="435"/>
        <v>18.5</v>
      </c>
      <c r="TPN73" s="59" t="s">
        <v>44</v>
      </c>
      <c r="TPO73" s="49" t="s">
        <v>44</v>
      </c>
      <c r="TPP73" s="51">
        <v>45117</v>
      </c>
      <c r="TPQ73" s="49"/>
      <c r="TPR73" s="49" t="s">
        <v>43</v>
      </c>
      <c r="TPS73" s="49" t="s">
        <v>45</v>
      </c>
      <c r="TPT73" s="49" t="s">
        <v>42</v>
      </c>
      <c r="TPU73" s="49" t="s">
        <v>0</v>
      </c>
      <c r="TPV73" s="49">
        <v>0</v>
      </c>
      <c r="TPW73" s="49">
        <v>1</v>
      </c>
      <c r="TPX73" s="58">
        <v>2.5</v>
      </c>
      <c r="TPY73" s="58">
        <v>5</v>
      </c>
      <c r="TPZ73" s="58">
        <v>4</v>
      </c>
      <c r="TQA73" s="49">
        <f>INDEX($T$2:$T$11,MATCH(TPW73,$R$2:$R$11,0))</f>
        <v>0.37</v>
      </c>
      <c r="TQB73" s="49">
        <f t="shared" ref="TQB73:TRX73" si="436">TPX73*TPY73*TPZ73</f>
        <v>50</v>
      </c>
      <c r="TQC73" s="57">
        <f t="shared" ref="TQC73:TRY73" si="437">TQA73*TQB73</f>
        <v>18.5</v>
      </c>
      <c r="TQD73" s="59" t="s">
        <v>44</v>
      </c>
      <c r="TQE73" s="49" t="s">
        <v>44</v>
      </c>
      <c r="TQF73" s="51">
        <v>45117</v>
      </c>
      <c r="TQG73" s="49"/>
      <c r="TQH73" s="49" t="s">
        <v>43</v>
      </c>
      <c r="TQI73" s="49" t="s">
        <v>45</v>
      </c>
      <c r="TQJ73" s="49" t="s">
        <v>42</v>
      </c>
      <c r="TQK73" s="49" t="s">
        <v>0</v>
      </c>
      <c r="TQL73" s="49">
        <v>0</v>
      </c>
      <c r="TQM73" s="49">
        <v>1</v>
      </c>
      <c r="TQN73" s="58">
        <v>2.5</v>
      </c>
      <c r="TQO73" s="58">
        <v>5</v>
      </c>
      <c r="TQP73" s="58">
        <v>4</v>
      </c>
      <c r="TQQ73" s="49">
        <f>INDEX($T$2:$T$11,MATCH(TQM73,$R$2:$R$11,0))</f>
        <v>0.37</v>
      </c>
      <c r="TQR73" s="49">
        <f t="shared" si="436"/>
        <v>50</v>
      </c>
      <c r="TQS73" s="57">
        <f t="shared" si="437"/>
        <v>18.5</v>
      </c>
      <c r="TQT73" s="59" t="s">
        <v>44</v>
      </c>
      <c r="TQU73" s="49" t="s">
        <v>44</v>
      </c>
      <c r="TQV73" s="51">
        <v>45117</v>
      </c>
      <c r="TQW73" s="49"/>
      <c r="TQX73" s="49" t="s">
        <v>43</v>
      </c>
      <c r="TQY73" s="49" t="s">
        <v>45</v>
      </c>
      <c r="TQZ73" s="49" t="s">
        <v>42</v>
      </c>
      <c r="TRA73" s="49" t="s">
        <v>0</v>
      </c>
      <c r="TRB73" s="49">
        <v>0</v>
      </c>
      <c r="TRC73" s="49">
        <v>1</v>
      </c>
      <c r="TRD73" s="58">
        <v>2.5</v>
      </c>
      <c r="TRE73" s="58">
        <v>5</v>
      </c>
      <c r="TRF73" s="58">
        <v>4</v>
      </c>
      <c r="TRG73" s="49">
        <f>INDEX($T$2:$T$11,MATCH(TRC73,$R$2:$R$11,0))</f>
        <v>0.37</v>
      </c>
      <c r="TRH73" s="49">
        <f t="shared" si="436"/>
        <v>50</v>
      </c>
      <c r="TRI73" s="57">
        <f t="shared" si="437"/>
        <v>18.5</v>
      </c>
      <c r="TRJ73" s="59" t="s">
        <v>44</v>
      </c>
      <c r="TRK73" s="49" t="s">
        <v>44</v>
      </c>
      <c r="TRL73" s="51">
        <v>45117</v>
      </c>
      <c r="TRM73" s="49"/>
      <c r="TRN73" s="49" t="s">
        <v>43</v>
      </c>
      <c r="TRO73" s="49" t="s">
        <v>45</v>
      </c>
      <c r="TRP73" s="49" t="s">
        <v>42</v>
      </c>
      <c r="TRQ73" s="49" t="s">
        <v>0</v>
      </c>
      <c r="TRR73" s="49">
        <v>0</v>
      </c>
      <c r="TRS73" s="49">
        <v>1</v>
      </c>
      <c r="TRT73" s="58">
        <v>2.5</v>
      </c>
      <c r="TRU73" s="58">
        <v>5</v>
      </c>
      <c r="TRV73" s="58">
        <v>4</v>
      </c>
      <c r="TRW73" s="49">
        <f>INDEX($T$2:$T$11,MATCH(TRS73,$R$2:$R$11,0))</f>
        <v>0.37</v>
      </c>
      <c r="TRX73" s="49">
        <f t="shared" si="436"/>
        <v>50</v>
      </c>
      <c r="TRY73" s="57">
        <f t="shared" si="437"/>
        <v>18.5</v>
      </c>
      <c r="TRZ73" s="59" t="s">
        <v>44</v>
      </c>
      <c r="TSA73" s="49" t="s">
        <v>44</v>
      </c>
      <c r="TSB73" s="51">
        <v>45117</v>
      </c>
      <c r="TSC73" s="49"/>
      <c r="TSD73" s="49" t="s">
        <v>43</v>
      </c>
      <c r="TSE73" s="49" t="s">
        <v>45</v>
      </c>
      <c r="TSF73" s="49" t="s">
        <v>42</v>
      </c>
      <c r="TSG73" s="49" t="s">
        <v>0</v>
      </c>
      <c r="TSH73" s="49">
        <v>0</v>
      </c>
      <c r="TSI73" s="49">
        <v>1</v>
      </c>
      <c r="TSJ73" s="58">
        <v>2.5</v>
      </c>
      <c r="TSK73" s="58">
        <v>5</v>
      </c>
      <c r="TSL73" s="58">
        <v>4</v>
      </c>
      <c r="TSM73" s="49">
        <f>INDEX($T$2:$T$11,MATCH(TSI73,$R$2:$R$11,0))</f>
        <v>0.37</v>
      </c>
      <c r="TSN73" s="49">
        <f t="shared" ref="TSN73:TUJ73" si="438">TSJ73*TSK73*TSL73</f>
        <v>50</v>
      </c>
      <c r="TSO73" s="57">
        <f t="shared" ref="TSO73:TUK73" si="439">TSM73*TSN73</f>
        <v>18.5</v>
      </c>
      <c r="TSP73" s="59" t="s">
        <v>44</v>
      </c>
      <c r="TSQ73" s="49" t="s">
        <v>44</v>
      </c>
      <c r="TSR73" s="51">
        <v>45117</v>
      </c>
      <c r="TSS73" s="49"/>
      <c r="TST73" s="49" t="s">
        <v>43</v>
      </c>
      <c r="TSU73" s="49" t="s">
        <v>45</v>
      </c>
      <c r="TSV73" s="49" t="s">
        <v>42</v>
      </c>
      <c r="TSW73" s="49" t="s">
        <v>0</v>
      </c>
      <c r="TSX73" s="49">
        <v>0</v>
      </c>
      <c r="TSY73" s="49">
        <v>1</v>
      </c>
      <c r="TSZ73" s="58">
        <v>2.5</v>
      </c>
      <c r="TTA73" s="58">
        <v>5</v>
      </c>
      <c r="TTB73" s="58">
        <v>4</v>
      </c>
      <c r="TTC73" s="49">
        <f>INDEX($T$2:$T$11,MATCH(TSY73,$R$2:$R$11,0))</f>
        <v>0.37</v>
      </c>
      <c r="TTD73" s="49">
        <f t="shared" si="438"/>
        <v>50</v>
      </c>
      <c r="TTE73" s="57">
        <f t="shared" si="439"/>
        <v>18.5</v>
      </c>
      <c r="TTF73" s="59" t="s">
        <v>44</v>
      </c>
      <c r="TTG73" s="49" t="s">
        <v>44</v>
      </c>
      <c r="TTH73" s="51">
        <v>45117</v>
      </c>
      <c r="TTI73" s="49"/>
      <c r="TTJ73" s="49" t="s">
        <v>43</v>
      </c>
      <c r="TTK73" s="49" t="s">
        <v>45</v>
      </c>
      <c r="TTL73" s="49" t="s">
        <v>42</v>
      </c>
      <c r="TTM73" s="49" t="s">
        <v>0</v>
      </c>
      <c r="TTN73" s="49">
        <v>0</v>
      </c>
      <c r="TTO73" s="49">
        <v>1</v>
      </c>
      <c r="TTP73" s="58">
        <v>2.5</v>
      </c>
      <c r="TTQ73" s="58">
        <v>5</v>
      </c>
      <c r="TTR73" s="58">
        <v>4</v>
      </c>
      <c r="TTS73" s="49">
        <f>INDEX($T$2:$T$11,MATCH(TTO73,$R$2:$R$11,0))</f>
        <v>0.37</v>
      </c>
      <c r="TTT73" s="49">
        <f t="shared" si="438"/>
        <v>50</v>
      </c>
      <c r="TTU73" s="57">
        <f t="shared" si="439"/>
        <v>18.5</v>
      </c>
      <c r="TTV73" s="59" t="s">
        <v>44</v>
      </c>
      <c r="TTW73" s="49" t="s">
        <v>44</v>
      </c>
      <c r="TTX73" s="51">
        <v>45117</v>
      </c>
      <c r="TTY73" s="49"/>
      <c r="TTZ73" s="49" t="s">
        <v>43</v>
      </c>
      <c r="TUA73" s="49" t="s">
        <v>45</v>
      </c>
      <c r="TUB73" s="49" t="s">
        <v>42</v>
      </c>
      <c r="TUC73" s="49" t="s">
        <v>0</v>
      </c>
      <c r="TUD73" s="49">
        <v>0</v>
      </c>
      <c r="TUE73" s="49">
        <v>1</v>
      </c>
      <c r="TUF73" s="58">
        <v>2.5</v>
      </c>
      <c r="TUG73" s="58">
        <v>5</v>
      </c>
      <c r="TUH73" s="58">
        <v>4</v>
      </c>
      <c r="TUI73" s="49">
        <f>INDEX($T$2:$T$11,MATCH(TUE73,$R$2:$R$11,0))</f>
        <v>0.37</v>
      </c>
      <c r="TUJ73" s="49">
        <f t="shared" si="438"/>
        <v>50</v>
      </c>
      <c r="TUK73" s="57">
        <f t="shared" si="439"/>
        <v>18.5</v>
      </c>
      <c r="TUL73" s="59" t="s">
        <v>44</v>
      </c>
      <c r="TUM73" s="49" t="s">
        <v>44</v>
      </c>
      <c r="TUN73" s="51">
        <v>45117</v>
      </c>
      <c r="TUO73" s="49"/>
      <c r="TUP73" s="49" t="s">
        <v>43</v>
      </c>
      <c r="TUQ73" s="49" t="s">
        <v>45</v>
      </c>
      <c r="TUR73" s="49" t="s">
        <v>42</v>
      </c>
      <c r="TUS73" s="49" t="s">
        <v>0</v>
      </c>
      <c r="TUT73" s="49">
        <v>0</v>
      </c>
      <c r="TUU73" s="49">
        <v>1</v>
      </c>
      <c r="TUV73" s="58">
        <v>2.5</v>
      </c>
      <c r="TUW73" s="58">
        <v>5</v>
      </c>
      <c r="TUX73" s="58">
        <v>4</v>
      </c>
      <c r="TUY73" s="49">
        <f>INDEX($T$2:$T$11,MATCH(TUU73,$R$2:$R$11,0))</f>
        <v>0.37</v>
      </c>
      <c r="TUZ73" s="49">
        <f t="shared" ref="TUZ73:TWV73" si="440">TUV73*TUW73*TUX73</f>
        <v>50</v>
      </c>
      <c r="TVA73" s="57">
        <f t="shared" ref="TVA73:TWW73" si="441">TUY73*TUZ73</f>
        <v>18.5</v>
      </c>
      <c r="TVB73" s="59" t="s">
        <v>44</v>
      </c>
      <c r="TVC73" s="49" t="s">
        <v>44</v>
      </c>
      <c r="TVD73" s="51">
        <v>45117</v>
      </c>
      <c r="TVE73" s="49"/>
      <c r="TVF73" s="49" t="s">
        <v>43</v>
      </c>
      <c r="TVG73" s="49" t="s">
        <v>45</v>
      </c>
      <c r="TVH73" s="49" t="s">
        <v>42</v>
      </c>
      <c r="TVI73" s="49" t="s">
        <v>0</v>
      </c>
      <c r="TVJ73" s="49">
        <v>0</v>
      </c>
      <c r="TVK73" s="49">
        <v>1</v>
      </c>
      <c r="TVL73" s="58">
        <v>2.5</v>
      </c>
      <c r="TVM73" s="58">
        <v>5</v>
      </c>
      <c r="TVN73" s="58">
        <v>4</v>
      </c>
      <c r="TVO73" s="49">
        <f>INDEX($T$2:$T$11,MATCH(TVK73,$R$2:$R$11,0))</f>
        <v>0.37</v>
      </c>
      <c r="TVP73" s="49">
        <f t="shared" si="440"/>
        <v>50</v>
      </c>
      <c r="TVQ73" s="57">
        <f t="shared" si="441"/>
        <v>18.5</v>
      </c>
      <c r="TVR73" s="59" t="s">
        <v>44</v>
      </c>
      <c r="TVS73" s="49" t="s">
        <v>44</v>
      </c>
      <c r="TVT73" s="51">
        <v>45117</v>
      </c>
      <c r="TVU73" s="49"/>
      <c r="TVV73" s="49" t="s">
        <v>43</v>
      </c>
      <c r="TVW73" s="49" t="s">
        <v>45</v>
      </c>
      <c r="TVX73" s="49" t="s">
        <v>42</v>
      </c>
      <c r="TVY73" s="49" t="s">
        <v>0</v>
      </c>
      <c r="TVZ73" s="49">
        <v>0</v>
      </c>
      <c r="TWA73" s="49">
        <v>1</v>
      </c>
      <c r="TWB73" s="58">
        <v>2.5</v>
      </c>
      <c r="TWC73" s="58">
        <v>5</v>
      </c>
      <c r="TWD73" s="58">
        <v>4</v>
      </c>
      <c r="TWE73" s="49">
        <f>INDEX($T$2:$T$11,MATCH(TWA73,$R$2:$R$11,0))</f>
        <v>0.37</v>
      </c>
      <c r="TWF73" s="49">
        <f t="shared" si="440"/>
        <v>50</v>
      </c>
      <c r="TWG73" s="57">
        <f t="shared" si="441"/>
        <v>18.5</v>
      </c>
      <c r="TWH73" s="59" t="s">
        <v>44</v>
      </c>
      <c r="TWI73" s="49" t="s">
        <v>44</v>
      </c>
      <c r="TWJ73" s="51">
        <v>45117</v>
      </c>
      <c r="TWK73" s="49"/>
      <c r="TWL73" s="49" t="s">
        <v>43</v>
      </c>
      <c r="TWM73" s="49" t="s">
        <v>45</v>
      </c>
      <c r="TWN73" s="49" t="s">
        <v>42</v>
      </c>
      <c r="TWO73" s="49" t="s">
        <v>0</v>
      </c>
      <c r="TWP73" s="49">
        <v>0</v>
      </c>
      <c r="TWQ73" s="49">
        <v>1</v>
      </c>
      <c r="TWR73" s="58">
        <v>2.5</v>
      </c>
      <c r="TWS73" s="58">
        <v>5</v>
      </c>
      <c r="TWT73" s="58">
        <v>4</v>
      </c>
      <c r="TWU73" s="49">
        <f>INDEX($T$2:$T$11,MATCH(TWQ73,$R$2:$R$11,0))</f>
        <v>0.37</v>
      </c>
      <c r="TWV73" s="49">
        <f t="shared" si="440"/>
        <v>50</v>
      </c>
      <c r="TWW73" s="57">
        <f t="shared" si="441"/>
        <v>18.5</v>
      </c>
      <c r="TWX73" s="59" t="s">
        <v>44</v>
      </c>
      <c r="TWY73" s="49" t="s">
        <v>44</v>
      </c>
      <c r="TWZ73" s="51">
        <v>45117</v>
      </c>
      <c r="TXA73" s="49"/>
      <c r="TXB73" s="49" t="s">
        <v>43</v>
      </c>
      <c r="TXC73" s="49" t="s">
        <v>45</v>
      </c>
      <c r="TXD73" s="49" t="s">
        <v>42</v>
      </c>
      <c r="TXE73" s="49" t="s">
        <v>0</v>
      </c>
      <c r="TXF73" s="49">
        <v>0</v>
      </c>
      <c r="TXG73" s="49">
        <v>1</v>
      </c>
      <c r="TXH73" s="58">
        <v>2.5</v>
      </c>
      <c r="TXI73" s="58">
        <v>5</v>
      </c>
      <c r="TXJ73" s="58">
        <v>4</v>
      </c>
      <c r="TXK73" s="49">
        <f>INDEX($T$2:$T$11,MATCH(TXG73,$R$2:$R$11,0))</f>
        <v>0.37</v>
      </c>
      <c r="TXL73" s="49">
        <f t="shared" ref="TXL73:TZH73" si="442">TXH73*TXI73*TXJ73</f>
        <v>50</v>
      </c>
      <c r="TXM73" s="57">
        <f t="shared" ref="TXM73:TZI73" si="443">TXK73*TXL73</f>
        <v>18.5</v>
      </c>
      <c r="TXN73" s="59" t="s">
        <v>44</v>
      </c>
      <c r="TXO73" s="49" t="s">
        <v>44</v>
      </c>
      <c r="TXP73" s="51">
        <v>45117</v>
      </c>
      <c r="TXQ73" s="49"/>
      <c r="TXR73" s="49" t="s">
        <v>43</v>
      </c>
      <c r="TXS73" s="49" t="s">
        <v>45</v>
      </c>
      <c r="TXT73" s="49" t="s">
        <v>42</v>
      </c>
      <c r="TXU73" s="49" t="s">
        <v>0</v>
      </c>
      <c r="TXV73" s="49">
        <v>0</v>
      </c>
      <c r="TXW73" s="49">
        <v>1</v>
      </c>
      <c r="TXX73" s="58">
        <v>2.5</v>
      </c>
      <c r="TXY73" s="58">
        <v>5</v>
      </c>
      <c r="TXZ73" s="58">
        <v>4</v>
      </c>
      <c r="TYA73" s="49">
        <f>INDEX($T$2:$T$11,MATCH(TXW73,$R$2:$R$11,0))</f>
        <v>0.37</v>
      </c>
      <c r="TYB73" s="49">
        <f t="shared" si="442"/>
        <v>50</v>
      </c>
      <c r="TYC73" s="57">
        <f t="shared" si="443"/>
        <v>18.5</v>
      </c>
      <c r="TYD73" s="59" t="s">
        <v>44</v>
      </c>
      <c r="TYE73" s="49" t="s">
        <v>44</v>
      </c>
      <c r="TYF73" s="51">
        <v>45117</v>
      </c>
      <c r="TYG73" s="49"/>
      <c r="TYH73" s="49" t="s">
        <v>43</v>
      </c>
      <c r="TYI73" s="49" t="s">
        <v>45</v>
      </c>
      <c r="TYJ73" s="49" t="s">
        <v>42</v>
      </c>
      <c r="TYK73" s="49" t="s">
        <v>0</v>
      </c>
      <c r="TYL73" s="49">
        <v>0</v>
      </c>
      <c r="TYM73" s="49">
        <v>1</v>
      </c>
      <c r="TYN73" s="58">
        <v>2.5</v>
      </c>
      <c r="TYO73" s="58">
        <v>5</v>
      </c>
      <c r="TYP73" s="58">
        <v>4</v>
      </c>
      <c r="TYQ73" s="49">
        <f>INDEX($T$2:$T$11,MATCH(TYM73,$R$2:$R$11,0))</f>
        <v>0.37</v>
      </c>
      <c r="TYR73" s="49">
        <f t="shared" si="442"/>
        <v>50</v>
      </c>
      <c r="TYS73" s="57">
        <f t="shared" si="443"/>
        <v>18.5</v>
      </c>
      <c r="TYT73" s="59" t="s">
        <v>44</v>
      </c>
      <c r="TYU73" s="49" t="s">
        <v>44</v>
      </c>
      <c r="TYV73" s="51">
        <v>45117</v>
      </c>
      <c r="TYW73" s="49"/>
      <c r="TYX73" s="49" t="s">
        <v>43</v>
      </c>
      <c r="TYY73" s="49" t="s">
        <v>45</v>
      </c>
      <c r="TYZ73" s="49" t="s">
        <v>42</v>
      </c>
      <c r="TZA73" s="49" t="s">
        <v>0</v>
      </c>
      <c r="TZB73" s="49">
        <v>0</v>
      </c>
      <c r="TZC73" s="49">
        <v>1</v>
      </c>
      <c r="TZD73" s="58">
        <v>2.5</v>
      </c>
      <c r="TZE73" s="58">
        <v>5</v>
      </c>
      <c r="TZF73" s="58">
        <v>4</v>
      </c>
      <c r="TZG73" s="49">
        <f>INDEX($T$2:$T$11,MATCH(TZC73,$R$2:$R$11,0))</f>
        <v>0.37</v>
      </c>
      <c r="TZH73" s="49">
        <f t="shared" si="442"/>
        <v>50</v>
      </c>
      <c r="TZI73" s="57">
        <f t="shared" si="443"/>
        <v>18.5</v>
      </c>
      <c r="TZJ73" s="59" t="s">
        <v>44</v>
      </c>
      <c r="TZK73" s="49" t="s">
        <v>44</v>
      </c>
      <c r="TZL73" s="51">
        <v>45117</v>
      </c>
      <c r="TZM73" s="49"/>
      <c r="TZN73" s="49" t="s">
        <v>43</v>
      </c>
      <c r="TZO73" s="49" t="s">
        <v>45</v>
      </c>
      <c r="TZP73" s="49" t="s">
        <v>42</v>
      </c>
      <c r="TZQ73" s="49" t="s">
        <v>0</v>
      </c>
      <c r="TZR73" s="49">
        <v>0</v>
      </c>
      <c r="TZS73" s="49">
        <v>1</v>
      </c>
      <c r="TZT73" s="58">
        <v>2.5</v>
      </c>
      <c r="TZU73" s="58">
        <v>5</v>
      </c>
      <c r="TZV73" s="58">
        <v>4</v>
      </c>
      <c r="TZW73" s="49">
        <f>INDEX($T$2:$T$11,MATCH(TZS73,$R$2:$R$11,0))</f>
        <v>0.37</v>
      </c>
      <c r="TZX73" s="49">
        <f t="shared" ref="TZX73:UBT73" si="444">TZT73*TZU73*TZV73</f>
        <v>50</v>
      </c>
      <c r="TZY73" s="57">
        <f t="shared" ref="TZY73:UBU73" si="445">TZW73*TZX73</f>
        <v>18.5</v>
      </c>
      <c r="TZZ73" s="59" t="s">
        <v>44</v>
      </c>
      <c r="UAA73" s="49" t="s">
        <v>44</v>
      </c>
      <c r="UAB73" s="51">
        <v>45117</v>
      </c>
      <c r="UAC73" s="49"/>
      <c r="UAD73" s="49" t="s">
        <v>43</v>
      </c>
      <c r="UAE73" s="49" t="s">
        <v>45</v>
      </c>
      <c r="UAF73" s="49" t="s">
        <v>42</v>
      </c>
      <c r="UAG73" s="49" t="s">
        <v>0</v>
      </c>
      <c r="UAH73" s="49">
        <v>0</v>
      </c>
      <c r="UAI73" s="49">
        <v>1</v>
      </c>
      <c r="UAJ73" s="58">
        <v>2.5</v>
      </c>
      <c r="UAK73" s="58">
        <v>5</v>
      </c>
      <c r="UAL73" s="58">
        <v>4</v>
      </c>
      <c r="UAM73" s="49">
        <f>INDEX($T$2:$T$11,MATCH(UAI73,$R$2:$R$11,0))</f>
        <v>0.37</v>
      </c>
      <c r="UAN73" s="49">
        <f t="shared" si="444"/>
        <v>50</v>
      </c>
      <c r="UAO73" s="57">
        <f t="shared" si="445"/>
        <v>18.5</v>
      </c>
      <c r="UAP73" s="59" t="s">
        <v>44</v>
      </c>
      <c r="UAQ73" s="49" t="s">
        <v>44</v>
      </c>
      <c r="UAR73" s="51">
        <v>45117</v>
      </c>
      <c r="UAS73" s="49"/>
      <c r="UAT73" s="49" t="s">
        <v>43</v>
      </c>
      <c r="UAU73" s="49" t="s">
        <v>45</v>
      </c>
      <c r="UAV73" s="49" t="s">
        <v>42</v>
      </c>
      <c r="UAW73" s="49" t="s">
        <v>0</v>
      </c>
      <c r="UAX73" s="49">
        <v>0</v>
      </c>
      <c r="UAY73" s="49">
        <v>1</v>
      </c>
      <c r="UAZ73" s="58">
        <v>2.5</v>
      </c>
      <c r="UBA73" s="58">
        <v>5</v>
      </c>
      <c r="UBB73" s="58">
        <v>4</v>
      </c>
      <c r="UBC73" s="49">
        <f>INDEX($T$2:$T$11,MATCH(UAY73,$R$2:$R$11,0))</f>
        <v>0.37</v>
      </c>
      <c r="UBD73" s="49">
        <f t="shared" si="444"/>
        <v>50</v>
      </c>
      <c r="UBE73" s="57">
        <f t="shared" si="445"/>
        <v>18.5</v>
      </c>
      <c r="UBF73" s="59" t="s">
        <v>44</v>
      </c>
      <c r="UBG73" s="49" t="s">
        <v>44</v>
      </c>
      <c r="UBH73" s="51">
        <v>45117</v>
      </c>
      <c r="UBI73" s="49"/>
      <c r="UBJ73" s="49" t="s">
        <v>43</v>
      </c>
      <c r="UBK73" s="49" t="s">
        <v>45</v>
      </c>
      <c r="UBL73" s="49" t="s">
        <v>42</v>
      </c>
      <c r="UBM73" s="49" t="s">
        <v>0</v>
      </c>
      <c r="UBN73" s="49">
        <v>0</v>
      </c>
      <c r="UBO73" s="49">
        <v>1</v>
      </c>
      <c r="UBP73" s="58">
        <v>2.5</v>
      </c>
      <c r="UBQ73" s="58">
        <v>5</v>
      </c>
      <c r="UBR73" s="58">
        <v>4</v>
      </c>
      <c r="UBS73" s="49">
        <f>INDEX($T$2:$T$11,MATCH(UBO73,$R$2:$R$11,0))</f>
        <v>0.37</v>
      </c>
      <c r="UBT73" s="49">
        <f t="shared" si="444"/>
        <v>50</v>
      </c>
      <c r="UBU73" s="57">
        <f t="shared" si="445"/>
        <v>18.5</v>
      </c>
      <c r="UBV73" s="59" t="s">
        <v>44</v>
      </c>
      <c r="UBW73" s="49" t="s">
        <v>44</v>
      </c>
      <c r="UBX73" s="51">
        <v>45117</v>
      </c>
      <c r="UBY73" s="49"/>
      <c r="UBZ73" s="49" t="s">
        <v>43</v>
      </c>
      <c r="UCA73" s="49" t="s">
        <v>45</v>
      </c>
      <c r="UCB73" s="49" t="s">
        <v>42</v>
      </c>
      <c r="UCC73" s="49" t="s">
        <v>0</v>
      </c>
      <c r="UCD73" s="49">
        <v>0</v>
      </c>
      <c r="UCE73" s="49">
        <v>1</v>
      </c>
      <c r="UCF73" s="58">
        <v>2.5</v>
      </c>
      <c r="UCG73" s="58">
        <v>5</v>
      </c>
      <c r="UCH73" s="58">
        <v>4</v>
      </c>
      <c r="UCI73" s="49">
        <f>INDEX($T$2:$T$11,MATCH(UCE73,$R$2:$R$11,0))</f>
        <v>0.37</v>
      </c>
      <c r="UCJ73" s="49">
        <f t="shared" ref="UCJ73:UEF73" si="446">UCF73*UCG73*UCH73</f>
        <v>50</v>
      </c>
      <c r="UCK73" s="57">
        <f t="shared" ref="UCK73:UEG73" si="447">UCI73*UCJ73</f>
        <v>18.5</v>
      </c>
      <c r="UCL73" s="59" t="s">
        <v>44</v>
      </c>
      <c r="UCM73" s="49" t="s">
        <v>44</v>
      </c>
      <c r="UCN73" s="51">
        <v>45117</v>
      </c>
      <c r="UCO73" s="49"/>
      <c r="UCP73" s="49" t="s">
        <v>43</v>
      </c>
      <c r="UCQ73" s="49" t="s">
        <v>45</v>
      </c>
      <c r="UCR73" s="49" t="s">
        <v>42</v>
      </c>
      <c r="UCS73" s="49" t="s">
        <v>0</v>
      </c>
      <c r="UCT73" s="49">
        <v>0</v>
      </c>
      <c r="UCU73" s="49">
        <v>1</v>
      </c>
      <c r="UCV73" s="58">
        <v>2.5</v>
      </c>
      <c r="UCW73" s="58">
        <v>5</v>
      </c>
      <c r="UCX73" s="58">
        <v>4</v>
      </c>
      <c r="UCY73" s="49">
        <f>INDEX($T$2:$T$11,MATCH(UCU73,$R$2:$R$11,0))</f>
        <v>0.37</v>
      </c>
      <c r="UCZ73" s="49">
        <f t="shared" si="446"/>
        <v>50</v>
      </c>
      <c r="UDA73" s="57">
        <f t="shared" si="447"/>
        <v>18.5</v>
      </c>
      <c r="UDB73" s="59" t="s">
        <v>44</v>
      </c>
      <c r="UDC73" s="49" t="s">
        <v>44</v>
      </c>
      <c r="UDD73" s="51">
        <v>45117</v>
      </c>
      <c r="UDE73" s="49"/>
      <c r="UDF73" s="49" t="s">
        <v>43</v>
      </c>
      <c r="UDG73" s="49" t="s">
        <v>45</v>
      </c>
      <c r="UDH73" s="49" t="s">
        <v>42</v>
      </c>
      <c r="UDI73" s="49" t="s">
        <v>0</v>
      </c>
      <c r="UDJ73" s="49">
        <v>0</v>
      </c>
      <c r="UDK73" s="49">
        <v>1</v>
      </c>
      <c r="UDL73" s="58">
        <v>2.5</v>
      </c>
      <c r="UDM73" s="58">
        <v>5</v>
      </c>
      <c r="UDN73" s="58">
        <v>4</v>
      </c>
      <c r="UDO73" s="49">
        <f>INDEX($T$2:$T$11,MATCH(UDK73,$R$2:$R$11,0))</f>
        <v>0.37</v>
      </c>
      <c r="UDP73" s="49">
        <f t="shared" si="446"/>
        <v>50</v>
      </c>
      <c r="UDQ73" s="57">
        <f t="shared" si="447"/>
        <v>18.5</v>
      </c>
      <c r="UDR73" s="59" t="s">
        <v>44</v>
      </c>
      <c r="UDS73" s="49" t="s">
        <v>44</v>
      </c>
      <c r="UDT73" s="51">
        <v>45117</v>
      </c>
      <c r="UDU73" s="49"/>
      <c r="UDV73" s="49" t="s">
        <v>43</v>
      </c>
      <c r="UDW73" s="49" t="s">
        <v>45</v>
      </c>
      <c r="UDX73" s="49" t="s">
        <v>42</v>
      </c>
      <c r="UDY73" s="49" t="s">
        <v>0</v>
      </c>
      <c r="UDZ73" s="49">
        <v>0</v>
      </c>
      <c r="UEA73" s="49">
        <v>1</v>
      </c>
      <c r="UEB73" s="58">
        <v>2.5</v>
      </c>
      <c r="UEC73" s="58">
        <v>5</v>
      </c>
      <c r="UED73" s="58">
        <v>4</v>
      </c>
      <c r="UEE73" s="49">
        <f>INDEX($T$2:$T$11,MATCH(UEA73,$R$2:$R$11,0))</f>
        <v>0.37</v>
      </c>
      <c r="UEF73" s="49">
        <f t="shared" si="446"/>
        <v>50</v>
      </c>
      <c r="UEG73" s="57">
        <f t="shared" si="447"/>
        <v>18.5</v>
      </c>
      <c r="UEH73" s="59" t="s">
        <v>44</v>
      </c>
      <c r="UEI73" s="49" t="s">
        <v>44</v>
      </c>
      <c r="UEJ73" s="51">
        <v>45117</v>
      </c>
      <c r="UEK73" s="49"/>
      <c r="UEL73" s="49" t="s">
        <v>43</v>
      </c>
      <c r="UEM73" s="49" t="s">
        <v>45</v>
      </c>
      <c r="UEN73" s="49" t="s">
        <v>42</v>
      </c>
      <c r="UEO73" s="49" t="s">
        <v>0</v>
      </c>
      <c r="UEP73" s="49">
        <v>0</v>
      </c>
      <c r="UEQ73" s="49">
        <v>1</v>
      </c>
      <c r="UER73" s="58">
        <v>2.5</v>
      </c>
      <c r="UES73" s="58">
        <v>5</v>
      </c>
      <c r="UET73" s="58">
        <v>4</v>
      </c>
      <c r="UEU73" s="49">
        <f>INDEX($T$2:$T$11,MATCH(UEQ73,$R$2:$R$11,0))</f>
        <v>0.37</v>
      </c>
      <c r="UEV73" s="49">
        <f t="shared" ref="UEV73:UGR73" si="448">UER73*UES73*UET73</f>
        <v>50</v>
      </c>
      <c r="UEW73" s="57">
        <f t="shared" ref="UEW73:UGS73" si="449">UEU73*UEV73</f>
        <v>18.5</v>
      </c>
      <c r="UEX73" s="59" t="s">
        <v>44</v>
      </c>
      <c r="UEY73" s="49" t="s">
        <v>44</v>
      </c>
      <c r="UEZ73" s="51">
        <v>45117</v>
      </c>
      <c r="UFA73" s="49"/>
      <c r="UFB73" s="49" t="s">
        <v>43</v>
      </c>
      <c r="UFC73" s="49" t="s">
        <v>45</v>
      </c>
      <c r="UFD73" s="49" t="s">
        <v>42</v>
      </c>
      <c r="UFE73" s="49" t="s">
        <v>0</v>
      </c>
      <c r="UFF73" s="49">
        <v>0</v>
      </c>
      <c r="UFG73" s="49">
        <v>1</v>
      </c>
      <c r="UFH73" s="58">
        <v>2.5</v>
      </c>
      <c r="UFI73" s="58">
        <v>5</v>
      </c>
      <c r="UFJ73" s="58">
        <v>4</v>
      </c>
      <c r="UFK73" s="49">
        <f>INDEX($T$2:$T$11,MATCH(UFG73,$R$2:$R$11,0))</f>
        <v>0.37</v>
      </c>
      <c r="UFL73" s="49">
        <f t="shared" si="448"/>
        <v>50</v>
      </c>
      <c r="UFM73" s="57">
        <f t="shared" si="449"/>
        <v>18.5</v>
      </c>
      <c r="UFN73" s="59" t="s">
        <v>44</v>
      </c>
      <c r="UFO73" s="49" t="s">
        <v>44</v>
      </c>
      <c r="UFP73" s="51">
        <v>45117</v>
      </c>
      <c r="UFQ73" s="49"/>
      <c r="UFR73" s="49" t="s">
        <v>43</v>
      </c>
      <c r="UFS73" s="49" t="s">
        <v>45</v>
      </c>
      <c r="UFT73" s="49" t="s">
        <v>42</v>
      </c>
      <c r="UFU73" s="49" t="s">
        <v>0</v>
      </c>
      <c r="UFV73" s="49">
        <v>0</v>
      </c>
      <c r="UFW73" s="49">
        <v>1</v>
      </c>
      <c r="UFX73" s="58">
        <v>2.5</v>
      </c>
      <c r="UFY73" s="58">
        <v>5</v>
      </c>
      <c r="UFZ73" s="58">
        <v>4</v>
      </c>
      <c r="UGA73" s="49">
        <f>INDEX($T$2:$T$11,MATCH(UFW73,$R$2:$R$11,0))</f>
        <v>0.37</v>
      </c>
      <c r="UGB73" s="49">
        <f t="shared" si="448"/>
        <v>50</v>
      </c>
      <c r="UGC73" s="57">
        <f t="shared" si="449"/>
        <v>18.5</v>
      </c>
      <c r="UGD73" s="59" t="s">
        <v>44</v>
      </c>
      <c r="UGE73" s="49" t="s">
        <v>44</v>
      </c>
      <c r="UGF73" s="51">
        <v>45117</v>
      </c>
      <c r="UGG73" s="49"/>
      <c r="UGH73" s="49" t="s">
        <v>43</v>
      </c>
      <c r="UGI73" s="49" t="s">
        <v>45</v>
      </c>
      <c r="UGJ73" s="49" t="s">
        <v>42</v>
      </c>
      <c r="UGK73" s="49" t="s">
        <v>0</v>
      </c>
      <c r="UGL73" s="49">
        <v>0</v>
      </c>
      <c r="UGM73" s="49">
        <v>1</v>
      </c>
      <c r="UGN73" s="58">
        <v>2.5</v>
      </c>
      <c r="UGO73" s="58">
        <v>5</v>
      </c>
      <c r="UGP73" s="58">
        <v>4</v>
      </c>
      <c r="UGQ73" s="49">
        <f>INDEX($T$2:$T$11,MATCH(UGM73,$R$2:$R$11,0))</f>
        <v>0.37</v>
      </c>
      <c r="UGR73" s="49">
        <f t="shared" si="448"/>
        <v>50</v>
      </c>
      <c r="UGS73" s="57">
        <f t="shared" si="449"/>
        <v>18.5</v>
      </c>
      <c r="UGT73" s="59" t="s">
        <v>44</v>
      </c>
      <c r="UGU73" s="49" t="s">
        <v>44</v>
      </c>
      <c r="UGV73" s="51">
        <v>45117</v>
      </c>
      <c r="UGW73" s="49"/>
      <c r="UGX73" s="49" t="s">
        <v>43</v>
      </c>
      <c r="UGY73" s="49" t="s">
        <v>45</v>
      </c>
      <c r="UGZ73" s="49" t="s">
        <v>42</v>
      </c>
      <c r="UHA73" s="49" t="s">
        <v>0</v>
      </c>
      <c r="UHB73" s="49">
        <v>0</v>
      </c>
      <c r="UHC73" s="49">
        <v>1</v>
      </c>
      <c r="UHD73" s="58">
        <v>2.5</v>
      </c>
      <c r="UHE73" s="58">
        <v>5</v>
      </c>
      <c r="UHF73" s="58">
        <v>4</v>
      </c>
      <c r="UHG73" s="49">
        <f>INDEX($T$2:$T$11,MATCH(UHC73,$R$2:$R$11,0))</f>
        <v>0.37</v>
      </c>
      <c r="UHH73" s="49">
        <f t="shared" ref="UHH73:UJD73" si="450">UHD73*UHE73*UHF73</f>
        <v>50</v>
      </c>
      <c r="UHI73" s="57">
        <f t="shared" ref="UHI73:UJE73" si="451">UHG73*UHH73</f>
        <v>18.5</v>
      </c>
      <c r="UHJ73" s="59" t="s">
        <v>44</v>
      </c>
      <c r="UHK73" s="49" t="s">
        <v>44</v>
      </c>
      <c r="UHL73" s="51">
        <v>45117</v>
      </c>
      <c r="UHM73" s="49"/>
      <c r="UHN73" s="49" t="s">
        <v>43</v>
      </c>
      <c r="UHO73" s="49" t="s">
        <v>45</v>
      </c>
      <c r="UHP73" s="49" t="s">
        <v>42</v>
      </c>
      <c r="UHQ73" s="49" t="s">
        <v>0</v>
      </c>
      <c r="UHR73" s="49">
        <v>0</v>
      </c>
      <c r="UHS73" s="49">
        <v>1</v>
      </c>
      <c r="UHT73" s="58">
        <v>2.5</v>
      </c>
      <c r="UHU73" s="58">
        <v>5</v>
      </c>
      <c r="UHV73" s="58">
        <v>4</v>
      </c>
      <c r="UHW73" s="49">
        <f>INDEX($T$2:$T$11,MATCH(UHS73,$R$2:$R$11,0))</f>
        <v>0.37</v>
      </c>
      <c r="UHX73" s="49">
        <f t="shared" si="450"/>
        <v>50</v>
      </c>
      <c r="UHY73" s="57">
        <f t="shared" si="451"/>
        <v>18.5</v>
      </c>
      <c r="UHZ73" s="59" t="s">
        <v>44</v>
      </c>
      <c r="UIA73" s="49" t="s">
        <v>44</v>
      </c>
      <c r="UIB73" s="51">
        <v>45117</v>
      </c>
      <c r="UIC73" s="49"/>
      <c r="UID73" s="49" t="s">
        <v>43</v>
      </c>
      <c r="UIE73" s="49" t="s">
        <v>45</v>
      </c>
      <c r="UIF73" s="49" t="s">
        <v>42</v>
      </c>
      <c r="UIG73" s="49" t="s">
        <v>0</v>
      </c>
      <c r="UIH73" s="49">
        <v>0</v>
      </c>
      <c r="UII73" s="49">
        <v>1</v>
      </c>
      <c r="UIJ73" s="58">
        <v>2.5</v>
      </c>
      <c r="UIK73" s="58">
        <v>5</v>
      </c>
      <c r="UIL73" s="58">
        <v>4</v>
      </c>
      <c r="UIM73" s="49">
        <f>INDEX($T$2:$T$11,MATCH(UII73,$R$2:$R$11,0))</f>
        <v>0.37</v>
      </c>
      <c r="UIN73" s="49">
        <f t="shared" si="450"/>
        <v>50</v>
      </c>
      <c r="UIO73" s="57">
        <f t="shared" si="451"/>
        <v>18.5</v>
      </c>
      <c r="UIP73" s="59" t="s">
        <v>44</v>
      </c>
      <c r="UIQ73" s="49" t="s">
        <v>44</v>
      </c>
      <c r="UIR73" s="51">
        <v>45117</v>
      </c>
      <c r="UIS73" s="49"/>
      <c r="UIT73" s="49" t="s">
        <v>43</v>
      </c>
      <c r="UIU73" s="49" t="s">
        <v>45</v>
      </c>
      <c r="UIV73" s="49" t="s">
        <v>42</v>
      </c>
      <c r="UIW73" s="49" t="s">
        <v>0</v>
      </c>
      <c r="UIX73" s="49">
        <v>0</v>
      </c>
      <c r="UIY73" s="49">
        <v>1</v>
      </c>
      <c r="UIZ73" s="58">
        <v>2.5</v>
      </c>
      <c r="UJA73" s="58">
        <v>5</v>
      </c>
      <c r="UJB73" s="58">
        <v>4</v>
      </c>
      <c r="UJC73" s="49">
        <f>INDEX($T$2:$T$11,MATCH(UIY73,$R$2:$R$11,0))</f>
        <v>0.37</v>
      </c>
      <c r="UJD73" s="49">
        <f t="shared" si="450"/>
        <v>50</v>
      </c>
      <c r="UJE73" s="57">
        <f t="shared" si="451"/>
        <v>18.5</v>
      </c>
      <c r="UJF73" s="59" t="s">
        <v>44</v>
      </c>
      <c r="UJG73" s="49" t="s">
        <v>44</v>
      </c>
      <c r="UJH73" s="51">
        <v>45117</v>
      </c>
      <c r="UJI73" s="49"/>
      <c r="UJJ73" s="49" t="s">
        <v>43</v>
      </c>
      <c r="UJK73" s="49" t="s">
        <v>45</v>
      </c>
      <c r="UJL73" s="49" t="s">
        <v>42</v>
      </c>
      <c r="UJM73" s="49" t="s">
        <v>0</v>
      </c>
      <c r="UJN73" s="49">
        <v>0</v>
      </c>
      <c r="UJO73" s="49">
        <v>1</v>
      </c>
      <c r="UJP73" s="58">
        <v>2.5</v>
      </c>
      <c r="UJQ73" s="58">
        <v>5</v>
      </c>
      <c r="UJR73" s="58">
        <v>4</v>
      </c>
      <c r="UJS73" s="49">
        <f>INDEX($T$2:$T$11,MATCH(UJO73,$R$2:$R$11,0))</f>
        <v>0.37</v>
      </c>
      <c r="UJT73" s="49">
        <f t="shared" ref="UJT73:ULP73" si="452">UJP73*UJQ73*UJR73</f>
        <v>50</v>
      </c>
      <c r="UJU73" s="57">
        <f t="shared" ref="UJU73:ULQ73" si="453">UJS73*UJT73</f>
        <v>18.5</v>
      </c>
      <c r="UJV73" s="59" t="s">
        <v>44</v>
      </c>
      <c r="UJW73" s="49" t="s">
        <v>44</v>
      </c>
      <c r="UJX73" s="51">
        <v>45117</v>
      </c>
      <c r="UJY73" s="49"/>
      <c r="UJZ73" s="49" t="s">
        <v>43</v>
      </c>
      <c r="UKA73" s="49" t="s">
        <v>45</v>
      </c>
      <c r="UKB73" s="49" t="s">
        <v>42</v>
      </c>
      <c r="UKC73" s="49" t="s">
        <v>0</v>
      </c>
      <c r="UKD73" s="49">
        <v>0</v>
      </c>
      <c r="UKE73" s="49">
        <v>1</v>
      </c>
      <c r="UKF73" s="58">
        <v>2.5</v>
      </c>
      <c r="UKG73" s="58">
        <v>5</v>
      </c>
      <c r="UKH73" s="58">
        <v>4</v>
      </c>
      <c r="UKI73" s="49">
        <f>INDEX($T$2:$T$11,MATCH(UKE73,$R$2:$R$11,0))</f>
        <v>0.37</v>
      </c>
      <c r="UKJ73" s="49">
        <f t="shared" si="452"/>
        <v>50</v>
      </c>
      <c r="UKK73" s="57">
        <f t="shared" si="453"/>
        <v>18.5</v>
      </c>
      <c r="UKL73" s="59" t="s">
        <v>44</v>
      </c>
      <c r="UKM73" s="49" t="s">
        <v>44</v>
      </c>
      <c r="UKN73" s="51">
        <v>45117</v>
      </c>
      <c r="UKO73" s="49"/>
      <c r="UKP73" s="49" t="s">
        <v>43</v>
      </c>
      <c r="UKQ73" s="49" t="s">
        <v>45</v>
      </c>
      <c r="UKR73" s="49" t="s">
        <v>42</v>
      </c>
      <c r="UKS73" s="49" t="s">
        <v>0</v>
      </c>
      <c r="UKT73" s="49">
        <v>0</v>
      </c>
      <c r="UKU73" s="49">
        <v>1</v>
      </c>
      <c r="UKV73" s="58">
        <v>2.5</v>
      </c>
      <c r="UKW73" s="58">
        <v>5</v>
      </c>
      <c r="UKX73" s="58">
        <v>4</v>
      </c>
      <c r="UKY73" s="49">
        <f>INDEX($T$2:$T$11,MATCH(UKU73,$R$2:$R$11,0))</f>
        <v>0.37</v>
      </c>
      <c r="UKZ73" s="49">
        <f t="shared" si="452"/>
        <v>50</v>
      </c>
      <c r="ULA73" s="57">
        <f t="shared" si="453"/>
        <v>18.5</v>
      </c>
      <c r="ULB73" s="59" t="s">
        <v>44</v>
      </c>
      <c r="ULC73" s="49" t="s">
        <v>44</v>
      </c>
      <c r="ULD73" s="51">
        <v>45117</v>
      </c>
      <c r="ULE73" s="49"/>
      <c r="ULF73" s="49" t="s">
        <v>43</v>
      </c>
      <c r="ULG73" s="49" t="s">
        <v>45</v>
      </c>
      <c r="ULH73" s="49" t="s">
        <v>42</v>
      </c>
      <c r="ULI73" s="49" t="s">
        <v>0</v>
      </c>
      <c r="ULJ73" s="49">
        <v>0</v>
      </c>
      <c r="ULK73" s="49">
        <v>1</v>
      </c>
      <c r="ULL73" s="58">
        <v>2.5</v>
      </c>
      <c r="ULM73" s="58">
        <v>5</v>
      </c>
      <c r="ULN73" s="58">
        <v>4</v>
      </c>
      <c r="ULO73" s="49">
        <f>INDEX($T$2:$T$11,MATCH(ULK73,$R$2:$R$11,0))</f>
        <v>0.37</v>
      </c>
      <c r="ULP73" s="49">
        <f t="shared" si="452"/>
        <v>50</v>
      </c>
      <c r="ULQ73" s="57">
        <f t="shared" si="453"/>
        <v>18.5</v>
      </c>
      <c r="ULR73" s="59" t="s">
        <v>44</v>
      </c>
      <c r="ULS73" s="49" t="s">
        <v>44</v>
      </c>
      <c r="ULT73" s="51">
        <v>45117</v>
      </c>
      <c r="ULU73" s="49"/>
      <c r="ULV73" s="49" t="s">
        <v>43</v>
      </c>
      <c r="ULW73" s="49" t="s">
        <v>45</v>
      </c>
      <c r="ULX73" s="49" t="s">
        <v>42</v>
      </c>
      <c r="ULY73" s="49" t="s">
        <v>0</v>
      </c>
      <c r="ULZ73" s="49">
        <v>0</v>
      </c>
      <c r="UMA73" s="49">
        <v>1</v>
      </c>
      <c r="UMB73" s="58">
        <v>2.5</v>
      </c>
      <c r="UMC73" s="58">
        <v>5</v>
      </c>
      <c r="UMD73" s="58">
        <v>4</v>
      </c>
      <c r="UME73" s="49">
        <f>INDEX($T$2:$T$11,MATCH(UMA73,$R$2:$R$11,0))</f>
        <v>0.37</v>
      </c>
      <c r="UMF73" s="49">
        <f t="shared" ref="UMF73:UOB73" si="454">UMB73*UMC73*UMD73</f>
        <v>50</v>
      </c>
      <c r="UMG73" s="57">
        <f t="shared" ref="UMG73:UOC73" si="455">UME73*UMF73</f>
        <v>18.5</v>
      </c>
      <c r="UMH73" s="59" t="s">
        <v>44</v>
      </c>
      <c r="UMI73" s="49" t="s">
        <v>44</v>
      </c>
      <c r="UMJ73" s="51">
        <v>45117</v>
      </c>
      <c r="UMK73" s="49"/>
      <c r="UML73" s="49" t="s">
        <v>43</v>
      </c>
      <c r="UMM73" s="49" t="s">
        <v>45</v>
      </c>
      <c r="UMN73" s="49" t="s">
        <v>42</v>
      </c>
      <c r="UMO73" s="49" t="s">
        <v>0</v>
      </c>
      <c r="UMP73" s="49">
        <v>0</v>
      </c>
      <c r="UMQ73" s="49">
        <v>1</v>
      </c>
      <c r="UMR73" s="58">
        <v>2.5</v>
      </c>
      <c r="UMS73" s="58">
        <v>5</v>
      </c>
      <c r="UMT73" s="58">
        <v>4</v>
      </c>
      <c r="UMU73" s="49">
        <f>INDEX($T$2:$T$11,MATCH(UMQ73,$R$2:$R$11,0))</f>
        <v>0.37</v>
      </c>
      <c r="UMV73" s="49">
        <f t="shared" si="454"/>
        <v>50</v>
      </c>
      <c r="UMW73" s="57">
        <f t="shared" si="455"/>
        <v>18.5</v>
      </c>
      <c r="UMX73" s="59" t="s">
        <v>44</v>
      </c>
      <c r="UMY73" s="49" t="s">
        <v>44</v>
      </c>
      <c r="UMZ73" s="51">
        <v>45117</v>
      </c>
      <c r="UNA73" s="49"/>
      <c r="UNB73" s="49" t="s">
        <v>43</v>
      </c>
      <c r="UNC73" s="49" t="s">
        <v>45</v>
      </c>
      <c r="UND73" s="49" t="s">
        <v>42</v>
      </c>
      <c r="UNE73" s="49" t="s">
        <v>0</v>
      </c>
      <c r="UNF73" s="49">
        <v>0</v>
      </c>
      <c r="UNG73" s="49">
        <v>1</v>
      </c>
      <c r="UNH73" s="58">
        <v>2.5</v>
      </c>
      <c r="UNI73" s="58">
        <v>5</v>
      </c>
      <c r="UNJ73" s="58">
        <v>4</v>
      </c>
      <c r="UNK73" s="49">
        <f>INDEX($T$2:$T$11,MATCH(UNG73,$R$2:$R$11,0))</f>
        <v>0.37</v>
      </c>
      <c r="UNL73" s="49">
        <f t="shared" si="454"/>
        <v>50</v>
      </c>
      <c r="UNM73" s="57">
        <f t="shared" si="455"/>
        <v>18.5</v>
      </c>
      <c r="UNN73" s="59" t="s">
        <v>44</v>
      </c>
      <c r="UNO73" s="49" t="s">
        <v>44</v>
      </c>
      <c r="UNP73" s="51">
        <v>45117</v>
      </c>
      <c r="UNQ73" s="49"/>
      <c r="UNR73" s="49" t="s">
        <v>43</v>
      </c>
      <c r="UNS73" s="49" t="s">
        <v>45</v>
      </c>
      <c r="UNT73" s="49" t="s">
        <v>42</v>
      </c>
      <c r="UNU73" s="49" t="s">
        <v>0</v>
      </c>
      <c r="UNV73" s="49">
        <v>0</v>
      </c>
      <c r="UNW73" s="49">
        <v>1</v>
      </c>
      <c r="UNX73" s="58">
        <v>2.5</v>
      </c>
      <c r="UNY73" s="58">
        <v>5</v>
      </c>
      <c r="UNZ73" s="58">
        <v>4</v>
      </c>
      <c r="UOA73" s="49">
        <f>INDEX($T$2:$T$11,MATCH(UNW73,$R$2:$R$11,0))</f>
        <v>0.37</v>
      </c>
      <c r="UOB73" s="49">
        <f t="shared" si="454"/>
        <v>50</v>
      </c>
      <c r="UOC73" s="57">
        <f t="shared" si="455"/>
        <v>18.5</v>
      </c>
      <c r="UOD73" s="59" t="s">
        <v>44</v>
      </c>
      <c r="UOE73" s="49" t="s">
        <v>44</v>
      </c>
      <c r="UOF73" s="51">
        <v>45117</v>
      </c>
      <c r="UOG73" s="49"/>
      <c r="UOH73" s="49" t="s">
        <v>43</v>
      </c>
      <c r="UOI73" s="49" t="s">
        <v>45</v>
      </c>
      <c r="UOJ73" s="49" t="s">
        <v>42</v>
      </c>
      <c r="UOK73" s="49" t="s">
        <v>0</v>
      </c>
      <c r="UOL73" s="49">
        <v>0</v>
      </c>
      <c r="UOM73" s="49">
        <v>1</v>
      </c>
      <c r="UON73" s="58">
        <v>2.5</v>
      </c>
      <c r="UOO73" s="58">
        <v>5</v>
      </c>
      <c r="UOP73" s="58">
        <v>4</v>
      </c>
      <c r="UOQ73" s="49">
        <f>INDEX($T$2:$T$11,MATCH(UOM73,$R$2:$R$11,0))</f>
        <v>0.37</v>
      </c>
      <c r="UOR73" s="49">
        <f t="shared" ref="UOR73:UQN73" si="456">UON73*UOO73*UOP73</f>
        <v>50</v>
      </c>
      <c r="UOS73" s="57">
        <f t="shared" ref="UOS73:UQO73" si="457">UOQ73*UOR73</f>
        <v>18.5</v>
      </c>
      <c r="UOT73" s="59" t="s">
        <v>44</v>
      </c>
      <c r="UOU73" s="49" t="s">
        <v>44</v>
      </c>
      <c r="UOV73" s="51">
        <v>45117</v>
      </c>
      <c r="UOW73" s="49"/>
      <c r="UOX73" s="49" t="s">
        <v>43</v>
      </c>
      <c r="UOY73" s="49" t="s">
        <v>45</v>
      </c>
      <c r="UOZ73" s="49" t="s">
        <v>42</v>
      </c>
      <c r="UPA73" s="49" t="s">
        <v>0</v>
      </c>
      <c r="UPB73" s="49">
        <v>0</v>
      </c>
      <c r="UPC73" s="49">
        <v>1</v>
      </c>
      <c r="UPD73" s="58">
        <v>2.5</v>
      </c>
      <c r="UPE73" s="58">
        <v>5</v>
      </c>
      <c r="UPF73" s="58">
        <v>4</v>
      </c>
      <c r="UPG73" s="49">
        <f>INDEX($T$2:$T$11,MATCH(UPC73,$R$2:$R$11,0))</f>
        <v>0.37</v>
      </c>
      <c r="UPH73" s="49">
        <f t="shared" si="456"/>
        <v>50</v>
      </c>
      <c r="UPI73" s="57">
        <f t="shared" si="457"/>
        <v>18.5</v>
      </c>
      <c r="UPJ73" s="59" t="s">
        <v>44</v>
      </c>
      <c r="UPK73" s="49" t="s">
        <v>44</v>
      </c>
      <c r="UPL73" s="51">
        <v>45117</v>
      </c>
      <c r="UPM73" s="49"/>
      <c r="UPN73" s="49" t="s">
        <v>43</v>
      </c>
      <c r="UPO73" s="49" t="s">
        <v>45</v>
      </c>
      <c r="UPP73" s="49" t="s">
        <v>42</v>
      </c>
      <c r="UPQ73" s="49" t="s">
        <v>0</v>
      </c>
      <c r="UPR73" s="49">
        <v>0</v>
      </c>
      <c r="UPS73" s="49">
        <v>1</v>
      </c>
      <c r="UPT73" s="58">
        <v>2.5</v>
      </c>
      <c r="UPU73" s="58">
        <v>5</v>
      </c>
      <c r="UPV73" s="58">
        <v>4</v>
      </c>
      <c r="UPW73" s="49">
        <f>INDEX($T$2:$T$11,MATCH(UPS73,$R$2:$R$11,0))</f>
        <v>0.37</v>
      </c>
      <c r="UPX73" s="49">
        <f t="shared" si="456"/>
        <v>50</v>
      </c>
      <c r="UPY73" s="57">
        <f t="shared" si="457"/>
        <v>18.5</v>
      </c>
      <c r="UPZ73" s="59" t="s">
        <v>44</v>
      </c>
      <c r="UQA73" s="49" t="s">
        <v>44</v>
      </c>
      <c r="UQB73" s="51">
        <v>45117</v>
      </c>
      <c r="UQC73" s="49"/>
      <c r="UQD73" s="49" t="s">
        <v>43</v>
      </c>
      <c r="UQE73" s="49" t="s">
        <v>45</v>
      </c>
      <c r="UQF73" s="49" t="s">
        <v>42</v>
      </c>
      <c r="UQG73" s="49" t="s">
        <v>0</v>
      </c>
      <c r="UQH73" s="49">
        <v>0</v>
      </c>
      <c r="UQI73" s="49">
        <v>1</v>
      </c>
      <c r="UQJ73" s="58">
        <v>2.5</v>
      </c>
      <c r="UQK73" s="58">
        <v>5</v>
      </c>
      <c r="UQL73" s="58">
        <v>4</v>
      </c>
      <c r="UQM73" s="49">
        <f>INDEX($T$2:$T$11,MATCH(UQI73,$R$2:$R$11,0))</f>
        <v>0.37</v>
      </c>
      <c r="UQN73" s="49">
        <f t="shared" si="456"/>
        <v>50</v>
      </c>
      <c r="UQO73" s="57">
        <f t="shared" si="457"/>
        <v>18.5</v>
      </c>
      <c r="UQP73" s="59" t="s">
        <v>44</v>
      </c>
      <c r="UQQ73" s="49" t="s">
        <v>44</v>
      </c>
      <c r="UQR73" s="51">
        <v>45117</v>
      </c>
      <c r="UQS73" s="49"/>
      <c r="UQT73" s="49" t="s">
        <v>43</v>
      </c>
      <c r="UQU73" s="49" t="s">
        <v>45</v>
      </c>
      <c r="UQV73" s="49" t="s">
        <v>42</v>
      </c>
      <c r="UQW73" s="49" t="s">
        <v>0</v>
      </c>
      <c r="UQX73" s="49">
        <v>0</v>
      </c>
      <c r="UQY73" s="49">
        <v>1</v>
      </c>
      <c r="UQZ73" s="58">
        <v>2.5</v>
      </c>
      <c r="URA73" s="58">
        <v>5</v>
      </c>
      <c r="URB73" s="58">
        <v>4</v>
      </c>
      <c r="URC73" s="49">
        <f>INDEX($T$2:$T$11,MATCH(UQY73,$R$2:$R$11,0))</f>
        <v>0.37</v>
      </c>
      <c r="URD73" s="49">
        <f t="shared" ref="URD73:USZ73" si="458">UQZ73*URA73*URB73</f>
        <v>50</v>
      </c>
      <c r="URE73" s="57">
        <f t="shared" ref="URE73:UTA73" si="459">URC73*URD73</f>
        <v>18.5</v>
      </c>
      <c r="URF73" s="59" t="s">
        <v>44</v>
      </c>
      <c r="URG73" s="49" t="s">
        <v>44</v>
      </c>
      <c r="URH73" s="51">
        <v>45117</v>
      </c>
      <c r="URI73" s="49"/>
      <c r="URJ73" s="49" t="s">
        <v>43</v>
      </c>
      <c r="URK73" s="49" t="s">
        <v>45</v>
      </c>
      <c r="URL73" s="49" t="s">
        <v>42</v>
      </c>
      <c r="URM73" s="49" t="s">
        <v>0</v>
      </c>
      <c r="URN73" s="49">
        <v>0</v>
      </c>
      <c r="URO73" s="49">
        <v>1</v>
      </c>
      <c r="URP73" s="58">
        <v>2.5</v>
      </c>
      <c r="URQ73" s="58">
        <v>5</v>
      </c>
      <c r="URR73" s="58">
        <v>4</v>
      </c>
      <c r="URS73" s="49">
        <f>INDEX($T$2:$T$11,MATCH(URO73,$R$2:$R$11,0))</f>
        <v>0.37</v>
      </c>
      <c r="URT73" s="49">
        <f t="shared" si="458"/>
        <v>50</v>
      </c>
      <c r="URU73" s="57">
        <f t="shared" si="459"/>
        <v>18.5</v>
      </c>
      <c r="URV73" s="59" t="s">
        <v>44</v>
      </c>
      <c r="URW73" s="49" t="s">
        <v>44</v>
      </c>
      <c r="URX73" s="51">
        <v>45117</v>
      </c>
      <c r="URY73" s="49"/>
      <c r="URZ73" s="49" t="s">
        <v>43</v>
      </c>
      <c r="USA73" s="49" t="s">
        <v>45</v>
      </c>
      <c r="USB73" s="49" t="s">
        <v>42</v>
      </c>
      <c r="USC73" s="49" t="s">
        <v>0</v>
      </c>
      <c r="USD73" s="49">
        <v>0</v>
      </c>
      <c r="USE73" s="49">
        <v>1</v>
      </c>
      <c r="USF73" s="58">
        <v>2.5</v>
      </c>
      <c r="USG73" s="58">
        <v>5</v>
      </c>
      <c r="USH73" s="58">
        <v>4</v>
      </c>
      <c r="USI73" s="49">
        <f>INDEX($T$2:$T$11,MATCH(USE73,$R$2:$R$11,0))</f>
        <v>0.37</v>
      </c>
      <c r="USJ73" s="49">
        <f t="shared" si="458"/>
        <v>50</v>
      </c>
      <c r="USK73" s="57">
        <f t="shared" si="459"/>
        <v>18.5</v>
      </c>
      <c r="USL73" s="59" t="s">
        <v>44</v>
      </c>
      <c r="USM73" s="49" t="s">
        <v>44</v>
      </c>
      <c r="USN73" s="51">
        <v>45117</v>
      </c>
      <c r="USO73" s="49"/>
      <c r="USP73" s="49" t="s">
        <v>43</v>
      </c>
      <c r="USQ73" s="49" t="s">
        <v>45</v>
      </c>
      <c r="USR73" s="49" t="s">
        <v>42</v>
      </c>
      <c r="USS73" s="49" t="s">
        <v>0</v>
      </c>
      <c r="UST73" s="49">
        <v>0</v>
      </c>
      <c r="USU73" s="49">
        <v>1</v>
      </c>
      <c r="USV73" s="58">
        <v>2.5</v>
      </c>
      <c r="USW73" s="58">
        <v>5</v>
      </c>
      <c r="USX73" s="58">
        <v>4</v>
      </c>
      <c r="USY73" s="49">
        <f>INDEX($T$2:$T$11,MATCH(USU73,$R$2:$R$11,0))</f>
        <v>0.37</v>
      </c>
      <c r="USZ73" s="49">
        <f t="shared" si="458"/>
        <v>50</v>
      </c>
      <c r="UTA73" s="57">
        <f t="shared" si="459"/>
        <v>18.5</v>
      </c>
      <c r="UTB73" s="59" t="s">
        <v>44</v>
      </c>
      <c r="UTC73" s="49" t="s">
        <v>44</v>
      </c>
      <c r="UTD73" s="51">
        <v>45117</v>
      </c>
      <c r="UTE73" s="49"/>
      <c r="UTF73" s="49" t="s">
        <v>43</v>
      </c>
      <c r="UTG73" s="49" t="s">
        <v>45</v>
      </c>
      <c r="UTH73" s="49" t="s">
        <v>42</v>
      </c>
      <c r="UTI73" s="49" t="s">
        <v>0</v>
      </c>
      <c r="UTJ73" s="49">
        <v>0</v>
      </c>
      <c r="UTK73" s="49">
        <v>1</v>
      </c>
      <c r="UTL73" s="58">
        <v>2.5</v>
      </c>
      <c r="UTM73" s="58">
        <v>5</v>
      </c>
      <c r="UTN73" s="58">
        <v>4</v>
      </c>
      <c r="UTO73" s="49">
        <f>INDEX($T$2:$T$11,MATCH(UTK73,$R$2:$R$11,0))</f>
        <v>0.37</v>
      </c>
      <c r="UTP73" s="49">
        <f t="shared" ref="UTP73:UVL73" si="460">UTL73*UTM73*UTN73</f>
        <v>50</v>
      </c>
      <c r="UTQ73" s="57">
        <f t="shared" ref="UTQ73:UVM73" si="461">UTO73*UTP73</f>
        <v>18.5</v>
      </c>
      <c r="UTR73" s="59" t="s">
        <v>44</v>
      </c>
      <c r="UTS73" s="49" t="s">
        <v>44</v>
      </c>
      <c r="UTT73" s="51">
        <v>45117</v>
      </c>
      <c r="UTU73" s="49"/>
      <c r="UTV73" s="49" t="s">
        <v>43</v>
      </c>
      <c r="UTW73" s="49" t="s">
        <v>45</v>
      </c>
      <c r="UTX73" s="49" t="s">
        <v>42</v>
      </c>
      <c r="UTY73" s="49" t="s">
        <v>0</v>
      </c>
      <c r="UTZ73" s="49">
        <v>0</v>
      </c>
      <c r="UUA73" s="49">
        <v>1</v>
      </c>
      <c r="UUB73" s="58">
        <v>2.5</v>
      </c>
      <c r="UUC73" s="58">
        <v>5</v>
      </c>
      <c r="UUD73" s="58">
        <v>4</v>
      </c>
      <c r="UUE73" s="49">
        <f>INDEX($T$2:$T$11,MATCH(UUA73,$R$2:$R$11,0))</f>
        <v>0.37</v>
      </c>
      <c r="UUF73" s="49">
        <f t="shared" si="460"/>
        <v>50</v>
      </c>
      <c r="UUG73" s="57">
        <f t="shared" si="461"/>
        <v>18.5</v>
      </c>
      <c r="UUH73" s="59" t="s">
        <v>44</v>
      </c>
      <c r="UUI73" s="49" t="s">
        <v>44</v>
      </c>
      <c r="UUJ73" s="51">
        <v>45117</v>
      </c>
      <c r="UUK73" s="49"/>
      <c r="UUL73" s="49" t="s">
        <v>43</v>
      </c>
      <c r="UUM73" s="49" t="s">
        <v>45</v>
      </c>
      <c r="UUN73" s="49" t="s">
        <v>42</v>
      </c>
      <c r="UUO73" s="49" t="s">
        <v>0</v>
      </c>
      <c r="UUP73" s="49">
        <v>0</v>
      </c>
      <c r="UUQ73" s="49">
        <v>1</v>
      </c>
      <c r="UUR73" s="58">
        <v>2.5</v>
      </c>
      <c r="UUS73" s="58">
        <v>5</v>
      </c>
      <c r="UUT73" s="58">
        <v>4</v>
      </c>
      <c r="UUU73" s="49">
        <f>INDEX($T$2:$T$11,MATCH(UUQ73,$R$2:$R$11,0))</f>
        <v>0.37</v>
      </c>
      <c r="UUV73" s="49">
        <f t="shared" si="460"/>
        <v>50</v>
      </c>
      <c r="UUW73" s="57">
        <f t="shared" si="461"/>
        <v>18.5</v>
      </c>
      <c r="UUX73" s="59" t="s">
        <v>44</v>
      </c>
      <c r="UUY73" s="49" t="s">
        <v>44</v>
      </c>
      <c r="UUZ73" s="51">
        <v>45117</v>
      </c>
      <c r="UVA73" s="49"/>
      <c r="UVB73" s="49" t="s">
        <v>43</v>
      </c>
      <c r="UVC73" s="49" t="s">
        <v>45</v>
      </c>
      <c r="UVD73" s="49" t="s">
        <v>42</v>
      </c>
      <c r="UVE73" s="49" t="s">
        <v>0</v>
      </c>
      <c r="UVF73" s="49">
        <v>0</v>
      </c>
      <c r="UVG73" s="49">
        <v>1</v>
      </c>
      <c r="UVH73" s="58">
        <v>2.5</v>
      </c>
      <c r="UVI73" s="58">
        <v>5</v>
      </c>
      <c r="UVJ73" s="58">
        <v>4</v>
      </c>
      <c r="UVK73" s="49">
        <f>INDEX($T$2:$T$11,MATCH(UVG73,$R$2:$R$11,0))</f>
        <v>0.37</v>
      </c>
      <c r="UVL73" s="49">
        <f t="shared" si="460"/>
        <v>50</v>
      </c>
      <c r="UVM73" s="57">
        <f t="shared" si="461"/>
        <v>18.5</v>
      </c>
      <c r="UVN73" s="59" t="s">
        <v>44</v>
      </c>
      <c r="UVO73" s="49" t="s">
        <v>44</v>
      </c>
      <c r="UVP73" s="51">
        <v>45117</v>
      </c>
      <c r="UVQ73" s="49"/>
      <c r="UVR73" s="49" t="s">
        <v>43</v>
      </c>
      <c r="UVS73" s="49" t="s">
        <v>45</v>
      </c>
      <c r="UVT73" s="49" t="s">
        <v>42</v>
      </c>
      <c r="UVU73" s="49" t="s">
        <v>0</v>
      </c>
      <c r="UVV73" s="49">
        <v>0</v>
      </c>
      <c r="UVW73" s="49">
        <v>1</v>
      </c>
      <c r="UVX73" s="58">
        <v>2.5</v>
      </c>
      <c r="UVY73" s="58">
        <v>5</v>
      </c>
      <c r="UVZ73" s="58">
        <v>4</v>
      </c>
      <c r="UWA73" s="49">
        <f>INDEX($T$2:$T$11,MATCH(UVW73,$R$2:$R$11,0))</f>
        <v>0.37</v>
      </c>
      <c r="UWB73" s="49">
        <f t="shared" ref="UWB73:UXX73" si="462">UVX73*UVY73*UVZ73</f>
        <v>50</v>
      </c>
      <c r="UWC73" s="57">
        <f t="shared" ref="UWC73:UXY73" si="463">UWA73*UWB73</f>
        <v>18.5</v>
      </c>
      <c r="UWD73" s="59" t="s">
        <v>44</v>
      </c>
      <c r="UWE73" s="49" t="s">
        <v>44</v>
      </c>
      <c r="UWF73" s="51">
        <v>45117</v>
      </c>
      <c r="UWG73" s="49"/>
      <c r="UWH73" s="49" t="s">
        <v>43</v>
      </c>
      <c r="UWI73" s="49" t="s">
        <v>45</v>
      </c>
      <c r="UWJ73" s="49" t="s">
        <v>42</v>
      </c>
      <c r="UWK73" s="49" t="s">
        <v>0</v>
      </c>
      <c r="UWL73" s="49">
        <v>0</v>
      </c>
      <c r="UWM73" s="49">
        <v>1</v>
      </c>
      <c r="UWN73" s="58">
        <v>2.5</v>
      </c>
      <c r="UWO73" s="58">
        <v>5</v>
      </c>
      <c r="UWP73" s="58">
        <v>4</v>
      </c>
      <c r="UWQ73" s="49">
        <f>INDEX($T$2:$T$11,MATCH(UWM73,$R$2:$R$11,0))</f>
        <v>0.37</v>
      </c>
      <c r="UWR73" s="49">
        <f t="shared" si="462"/>
        <v>50</v>
      </c>
      <c r="UWS73" s="57">
        <f t="shared" si="463"/>
        <v>18.5</v>
      </c>
      <c r="UWT73" s="59" t="s">
        <v>44</v>
      </c>
      <c r="UWU73" s="49" t="s">
        <v>44</v>
      </c>
      <c r="UWV73" s="51">
        <v>45117</v>
      </c>
      <c r="UWW73" s="49"/>
      <c r="UWX73" s="49" t="s">
        <v>43</v>
      </c>
      <c r="UWY73" s="49" t="s">
        <v>45</v>
      </c>
      <c r="UWZ73" s="49" t="s">
        <v>42</v>
      </c>
      <c r="UXA73" s="49" t="s">
        <v>0</v>
      </c>
      <c r="UXB73" s="49">
        <v>0</v>
      </c>
      <c r="UXC73" s="49">
        <v>1</v>
      </c>
      <c r="UXD73" s="58">
        <v>2.5</v>
      </c>
      <c r="UXE73" s="58">
        <v>5</v>
      </c>
      <c r="UXF73" s="58">
        <v>4</v>
      </c>
      <c r="UXG73" s="49">
        <f>INDEX($T$2:$T$11,MATCH(UXC73,$R$2:$R$11,0))</f>
        <v>0.37</v>
      </c>
      <c r="UXH73" s="49">
        <f t="shared" si="462"/>
        <v>50</v>
      </c>
      <c r="UXI73" s="57">
        <f t="shared" si="463"/>
        <v>18.5</v>
      </c>
      <c r="UXJ73" s="59" t="s">
        <v>44</v>
      </c>
      <c r="UXK73" s="49" t="s">
        <v>44</v>
      </c>
      <c r="UXL73" s="51">
        <v>45117</v>
      </c>
      <c r="UXM73" s="49"/>
      <c r="UXN73" s="49" t="s">
        <v>43</v>
      </c>
      <c r="UXO73" s="49" t="s">
        <v>45</v>
      </c>
      <c r="UXP73" s="49" t="s">
        <v>42</v>
      </c>
      <c r="UXQ73" s="49" t="s">
        <v>0</v>
      </c>
      <c r="UXR73" s="49">
        <v>0</v>
      </c>
      <c r="UXS73" s="49">
        <v>1</v>
      </c>
      <c r="UXT73" s="58">
        <v>2.5</v>
      </c>
      <c r="UXU73" s="58">
        <v>5</v>
      </c>
      <c r="UXV73" s="58">
        <v>4</v>
      </c>
      <c r="UXW73" s="49">
        <f>INDEX($T$2:$T$11,MATCH(UXS73,$R$2:$R$11,0))</f>
        <v>0.37</v>
      </c>
      <c r="UXX73" s="49">
        <f t="shared" si="462"/>
        <v>50</v>
      </c>
      <c r="UXY73" s="57">
        <f t="shared" si="463"/>
        <v>18.5</v>
      </c>
      <c r="UXZ73" s="59" t="s">
        <v>44</v>
      </c>
      <c r="UYA73" s="49" t="s">
        <v>44</v>
      </c>
      <c r="UYB73" s="51">
        <v>45117</v>
      </c>
      <c r="UYC73" s="49"/>
      <c r="UYD73" s="49" t="s">
        <v>43</v>
      </c>
      <c r="UYE73" s="49" t="s">
        <v>45</v>
      </c>
      <c r="UYF73" s="49" t="s">
        <v>42</v>
      </c>
      <c r="UYG73" s="49" t="s">
        <v>0</v>
      </c>
      <c r="UYH73" s="49">
        <v>0</v>
      </c>
      <c r="UYI73" s="49">
        <v>1</v>
      </c>
      <c r="UYJ73" s="58">
        <v>2.5</v>
      </c>
      <c r="UYK73" s="58">
        <v>5</v>
      </c>
      <c r="UYL73" s="58">
        <v>4</v>
      </c>
      <c r="UYM73" s="49">
        <f>INDEX($T$2:$T$11,MATCH(UYI73,$R$2:$R$11,0))</f>
        <v>0.37</v>
      </c>
      <c r="UYN73" s="49">
        <f t="shared" ref="UYN73:VAJ73" si="464">UYJ73*UYK73*UYL73</f>
        <v>50</v>
      </c>
      <c r="UYO73" s="57">
        <f t="shared" ref="UYO73:VAK73" si="465">UYM73*UYN73</f>
        <v>18.5</v>
      </c>
      <c r="UYP73" s="59" t="s">
        <v>44</v>
      </c>
      <c r="UYQ73" s="49" t="s">
        <v>44</v>
      </c>
      <c r="UYR73" s="51">
        <v>45117</v>
      </c>
      <c r="UYS73" s="49"/>
      <c r="UYT73" s="49" t="s">
        <v>43</v>
      </c>
      <c r="UYU73" s="49" t="s">
        <v>45</v>
      </c>
      <c r="UYV73" s="49" t="s">
        <v>42</v>
      </c>
      <c r="UYW73" s="49" t="s">
        <v>0</v>
      </c>
      <c r="UYX73" s="49">
        <v>0</v>
      </c>
      <c r="UYY73" s="49">
        <v>1</v>
      </c>
      <c r="UYZ73" s="58">
        <v>2.5</v>
      </c>
      <c r="UZA73" s="58">
        <v>5</v>
      </c>
      <c r="UZB73" s="58">
        <v>4</v>
      </c>
      <c r="UZC73" s="49">
        <f>INDEX($T$2:$T$11,MATCH(UYY73,$R$2:$R$11,0))</f>
        <v>0.37</v>
      </c>
      <c r="UZD73" s="49">
        <f t="shared" si="464"/>
        <v>50</v>
      </c>
      <c r="UZE73" s="57">
        <f t="shared" si="465"/>
        <v>18.5</v>
      </c>
      <c r="UZF73" s="59" t="s">
        <v>44</v>
      </c>
      <c r="UZG73" s="49" t="s">
        <v>44</v>
      </c>
      <c r="UZH73" s="51">
        <v>45117</v>
      </c>
      <c r="UZI73" s="49"/>
      <c r="UZJ73" s="49" t="s">
        <v>43</v>
      </c>
      <c r="UZK73" s="49" t="s">
        <v>45</v>
      </c>
      <c r="UZL73" s="49" t="s">
        <v>42</v>
      </c>
      <c r="UZM73" s="49" t="s">
        <v>0</v>
      </c>
      <c r="UZN73" s="49">
        <v>0</v>
      </c>
      <c r="UZO73" s="49">
        <v>1</v>
      </c>
      <c r="UZP73" s="58">
        <v>2.5</v>
      </c>
      <c r="UZQ73" s="58">
        <v>5</v>
      </c>
      <c r="UZR73" s="58">
        <v>4</v>
      </c>
      <c r="UZS73" s="49">
        <f>INDEX($T$2:$T$11,MATCH(UZO73,$R$2:$R$11,0))</f>
        <v>0.37</v>
      </c>
      <c r="UZT73" s="49">
        <f t="shared" si="464"/>
        <v>50</v>
      </c>
      <c r="UZU73" s="57">
        <f t="shared" si="465"/>
        <v>18.5</v>
      </c>
      <c r="UZV73" s="59" t="s">
        <v>44</v>
      </c>
      <c r="UZW73" s="49" t="s">
        <v>44</v>
      </c>
      <c r="UZX73" s="51">
        <v>45117</v>
      </c>
      <c r="UZY73" s="49"/>
      <c r="UZZ73" s="49" t="s">
        <v>43</v>
      </c>
      <c r="VAA73" s="49" t="s">
        <v>45</v>
      </c>
      <c r="VAB73" s="49" t="s">
        <v>42</v>
      </c>
      <c r="VAC73" s="49" t="s">
        <v>0</v>
      </c>
      <c r="VAD73" s="49">
        <v>0</v>
      </c>
      <c r="VAE73" s="49">
        <v>1</v>
      </c>
      <c r="VAF73" s="58">
        <v>2.5</v>
      </c>
      <c r="VAG73" s="58">
        <v>5</v>
      </c>
      <c r="VAH73" s="58">
        <v>4</v>
      </c>
      <c r="VAI73" s="49">
        <f>INDEX($T$2:$T$11,MATCH(VAE73,$R$2:$R$11,0))</f>
        <v>0.37</v>
      </c>
      <c r="VAJ73" s="49">
        <f t="shared" si="464"/>
        <v>50</v>
      </c>
      <c r="VAK73" s="57">
        <f t="shared" si="465"/>
        <v>18.5</v>
      </c>
      <c r="VAL73" s="59" t="s">
        <v>44</v>
      </c>
      <c r="VAM73" s="49" t="s">
        <v>44</v>
      </c>
      <c r="VAN73" s="51">
        <v>45117</v>
      </c>
      <c r="VAO73" s="49"/>
      <c r="VAP73" s="49" t="s">
        <v>43</v>
      </c>
      <c r="VAQ73" s="49" t="s">
        <v>45</v>
      </c>
      <c r="VAR73" s="49" t="s">
        <v>42</v>
      </c>
      <c r="VAS73" s="49" t="s">
        <v>0</v>
      </c>
      <c r="VAT73" s="49">
        <v>0</v>
      </c>
      <c r="VAU73" s="49">
        <v>1</v>
      </c>
      <c r="VAV73" s="58">
        <v>2.5</v>
      </c>
      <c r="VAW73" s="58">
        <v>5</v>
      </c>
      <c r="VAX73" s="58">
        <v>4</v>
      </c>
      <c r="VAY73" s="49">
        <f>INDEX($T$2:$T$11,MATCH(VAU73,$R$2:$R$11,0))</f>
        <v>0.37</v>
      </c>
      <c r="VAZ73" s="49">
        <f t="shared" ref="VAZ73:VCV73" si="466">VAV73*VAW73*VAX73</f>
        <v>50</v>
      </c>
      <c r="VBA73" s="57">
        <f t="shared" ref="VBA73:VCW73" si="467">VAY73*VAZ73</f>
        <v>18.5</v>
      </c>
      <c r="VBB73" s="59" t="s">
        <v>44</v>
      </c>
      <c r="VBC73" s="49" t="s">
        <v>44</v>
      </c>
      <c r="VBD73" s="51">
        <v>45117</v>
      </c>
      <c r="VBE73" s="49"/>
      <c r="VBF73" s="49" t="s">
        <v>43</v>
      </c>
      <c r="VBG73" s="49" t="s">
        <v>45</v>
      </c>
      <c r="VBH73" s="49" t="s">
        <v>42</v>
      </c>
      <c r="VBI73" s="49" t="s">
        <v>0</v>
      </c>
      <c r="VBJ73" s="49">
        <v>0</v>
      </c>
      <c r="VBK73" s="49">
        <v>1</v>
      </c>
      <c r="VBL73" s="58">
        <v>2.5</v>
      </c>
      <c r="VBM73" s="58">
        <v>5</v>
      </c>
      <c r="VBN73" s="58">
        <v>4</v>
      </c>
      <c r="VBO73" s="49">
        <f>INDEX($T$2:$T$11,MATCH(VBK73,$R$2:$R$11,0))</f>
        <v>0.37</v>
      </c>
      <c r="VBP73" s="49">
        <f t="shared" si="466"/>
        <v>50</v>
      </c>
      <c r="VBQ73" s="57">
        <f t="shared" si="467"/>
        <v>18.5</v>
      </c>
      <c r="VBR73" s="59" t="s">
        <v>44</v>
      </c>
      <c r="VBS73" s="49" t="s">
        <v>44</v>
      </c>
      <c r="VBT73" s="51">
        <v>45117</v>
      </c>
      <c r="VBU73" s="49"/>
      <c r="VBV73" s="49" t="s">
        <v>43</v>
      </c>
      <c r="VBW73" s="49" t="s">
        <v>45</v>
      </c>
      <c r="VBX73" s="49" t="s">
        <v>42</v>
      </c>
      <c r="VBY73" s="49" t="s">
        <v>0</v>
      </c>
      <c r="VBZ73" s="49">
        <v>0</v>
      </c>
      <c r="VCA73" s="49">
        <v>1</v>
      </c>
      <c r="VCB73" s="58">
        <v>2.5</v>
      </c>
      <c r="VCC73" s="58">
        <v>5</v>
      </c>
      <c r="VCD73" s="58">
        <v>4</v>
      </c>
      <c r="VCE73" s="49">
        <f>INDEX($T$2:$T$11,MATCH(VCA73,$R$2:$R$11,0))</f>
        <v>0.37</v>
      </c>
      <c r="VCF73" s="49">
        <f t="shared" si="466"/>
        <v>50</v>
      </c>
      <c r="VCG73" s="57">
        <f t="shared" si="467"/>
        <v>18.5</v>
      </c>
      <c r="VCH73" s="59" t="s">
        <v>44</v>
      </c>
      <c r="VCI73" s="49" t="s">
        <v>44</v>
      </c>
      <c r="VCJ73" s="51">
        <v>45117</v>
      </c>
      <c r="VCK73" s="49"/>
      <c r="VCL73" s="49" t="s">
        <v>43</v>
      </c>
      <c r="VCM73" s="49" t="s">
        <v>45</v>
      </c>
      <c r="VCN73" s="49" t="s">
        <v>42</v>
      </c>
      <c r="VCO73" s="49" t="s">
        <v>0</v>
      </c>
      <c r="VCP73" s="49">
        <v>0</v>
      </c>
      <c r="VCQ73" s="49">
        <v>1</v>
      </c>
      <c r="VCR73" s="58">
        <v>2.5</v>
      </c>
      <c r="VCS73" s="58">
        <v>5</v>
      </c>
      <c r="VCT73" s="58">
        <v>4</v>
      </c>
      <c r="VCU73" s="49">
        <f>INDEX($T$2:$T$11,MATCH(VCQ73,$R$2:$R$11,0))</f>
        <v>0.37</v>
      </c>
      <c r="VCV73" s="49">
        <f t="shared" si="466"/>
        <v>50</v>
      </c>
      <c r="VCW73" s="57">
        <f t="shared" si="467"/>
        <v>18.5</v>
      </c>
      <c r="VCX73" s="59" t="s">
        <v>44</v>
      </c>
      <c r="VCY73" s="49" t="s">
        <v>44</v>
      </c>
      <c r="VCZ73" s="51">
        <v>45117</v>
      </c>
      <c r="VDA73" s="49"/>
      <c r="VDB73" s="49" t="s">
        <v>43</v>
      </c>
      <c r="VDC73" s="49" t="s">
        <v>45</v>
      </c>
      <c r="VDD73" s="49" t="s">
        <v>42</v>
      </c>
      <c r="VDE73" s="49" t="s">
        <v>0</v>
      </c>
      <c r="VDF73" s="49">
        <v>0</v>
      </c>
      <c r="VDG73" s="49">
        <v>1</v>
      </c>
      <c r="VDH73" s="58">
        <v>2.5</v>
      </c>
      <c r="VDI73" s="58">
        <v>5</v>
      </c>
      <c r="VDJ73" s="58">
        <v>4</v>
      </c>
      <c r="VDK73" s="49">
        <f>INDEX($T$2:$T$11,MATCH(VDG73,$R$2:$R$11,0))</f>
        <v>0.37</v>
      </c>
      <c r="VDL73" s="49">
        <f t="shared" ref="VDL73:VFH73" si="468">VDH73*VDI73*VDJ73</f>
        <v>50</v>
      </c>
      <c r="VDM73" s="57">
        <f t="shared" ref="VDM73:VFI73" si="469">VDK73*VDL73</f>
        <v>18.5</v>
      </c>
      <c r="VDN73" s="59" t="s">
        <v>44</v>
      </c>
      <c r="VDO73" s="49" t="s">
        <v>44</v>
      </c>
      <c r="VDP73" s="51">
        <v>45117</v>
      </c>
      <c r="VDQ73" s="49"/>
      <c r="VDR73" s="49" t="s">
        <v>43</v>
      </c>
      <c r="VDS73" s="49" t="s">
        <v>45</v>
      </c>
      <c r="VDT73" s="49" t="s">
        <v>42</v>
      </c>
      <c r="VDU73" s="49" t="s">
        <v>0</v>
      </c>
      <c r="VDV73" s="49">
        <v>0</v>
      </c>
      <c r="VDW73" s="49">
        <v>1</v>
      </c>
      <c r="VDX73" s="58">
        <v>2.5</v>
      </c>
      <c r="VDY73" s="58">
        <v>5</v>
      </c>
      <c r="VDZ73" s="58">
        <v>4</v>
      </c>
      <c r="VEA73" s="49">
        <f>INDEX($T$2:$T$11,MATCH(VDW73,$R$2:$R$11,0))</f>
        <v>0.37</v>
      </c>
      <c r="VEB73" s="49">
        <f t="shared" si="468"/>
        <v>50</v>
      </c>
      <c r="VEC73" s="57">
        <f t="shared" si="469"/>
        <v>18.5</v>
      </c>
      <c r="VED73" s="59" t="s">
        <v>44</v>
      </c>
      <c r="VEE73" s="49" t="s">
        <v>44</v>
      </c>
      <c r="VEF73" s="51">
        <v>45117</v>
      </c>
      <c r="VEG73" s="49"/>
      <c r="VEH73" s="49" t="s">
        <v>43</v>
      </c>
      <c r="VEI73" s="49" t="s">
        <v>45</v>
      </c>
      <c r="VEJ73" s="49" t="s">
        <v>42</v>
      </c>
      <c r="VEK73" s="49" t="s">
        <v>0</v>
      </c>
      <c r="VEL73" s="49">
        <v>0</v>
      </c>
      <c r="VEM73" s="49">
        <v>1</v>
      </c>
      <c r="VEN73" s="58">
        <v>2.5</v>
      </c>
      <c r="VEO73" s="58">
        <v>5</v>
      </c>
      <c r="VEP73" s="58">
        <v>4</v>
      </c>
      <c r="VEQ73" s="49">
        <f>INDEX($T$2:$T$11,MATCH(VEM73,$R$2:$R$11,0))</f>
        <v>0.37</v>
      </c>
      <c r="VER73" s="49">
        <f t="shared" si="468"/>
        <v>50</v>
      </c>
      <c r="VES73" s="57">
        <f t="shared" si="469"/>
        <v>18.5</v>
      </c>
      <c r="VET73" s="59" t="s">
        <v>44</v>
      </c>
      <c r="VEU73" s="49" t="s">
        <v>44</v>
      </c>
      <c r="VEV73" s="51">
        <v>45117</v>
      </c>
      <c r="VEW73" s="49"/>
      <c r="VEX73" s="49" t="s">
        <v>43</v>
      </c>
      <c r="VEY73" s="49" t="s">
        <v>45</v>
      </c>
      <c r="VEZ73" s="49" t="s">
        <v>42</v>
      </c>
      <c r="VFA73" s="49" t="s">
        <v>0</v>
      </c>
      <c r="VFB73" s="49">
        <v>0</v>
      </c>
      <c r="VFC73" s="49">
        <v>1</v>
      </c>
      <c r="VFD73" s="58">
        <v>2.5</v>
      </c>
      <c r="VFE73" s="58">
        <v>5</v>
      </c>
      <c r="VFF73" s="58">
        <v>4</v>
      </c>
      <c r="VFG73" s="49">
        <f>INDEX($T$2:$T$11,MATCH(VFC73,$R$2:$R$11,0))</f>
        <v>0.37</v>
      </c>
      <c r="VFH73" s="49">
        <f t="shared" si="468"/>
        <v>50</v>
      </c>
      <c r="VFI73" s="57">
        <f t="shared" si="469"/>
        <v>18.5</v>
      </c>
      <c r="VFJ73" s="59" t="s">
        <v>44</v>
      </c>
      <c r="VFK73" s="49" t="s">
        <v>44</v>
      </c>
      <c r="VFL73" s="51">
        <v>45117</v>
      </c>
      <c r="VFM73" s="49"/>
      <c r="VFN73" s="49" t="s">
        <v>43</v>
      </c>
      <c r="VFO73" s="49" t="s">
        <v>45</v>
      </c>
      <c r="VFP73" s="49" t="s">
        <v>42</v>
      </c>
      <c r="VFQ73" s="49" t="s">
        <v>0</v>
      </c>
      <c r="VFR73" s="49">
        <v>0</v>
      </c>
      <c r="VFS73" s="49">
        <v>1</v>
      </c>
      <c r="VFT73" s="58">
        <v>2.5</v>
      </c>
      <c r="VFU73" s="58">
        <v>5</v>
      </c>
      <c r="VFV73" s="58">
        <v>4</v>
      </c>
      <c r="VFW73" s="49">
        <f>INDEX($T$2:$T$11,MATCH(VFS73,$R$2:$R$11,0))</f>
        <v>0.37</v>
      </c>
      <c r="VFX73" s="49">
        <f t="shared" ref="VFX73:VHT73" si="470">VFT73*VFU73*VFV73</f>
        <v>50</v>
      </c>
      <c r="VFY73" s="57">
        <f t="shared" ref="VFY73:VHU73" si="471">VFW73*VFX73</f>
        <v>18.5</v>
      </c>
      <c r="VFZ73" s="59" t="s">
        <v>44</v>
      </c>
      <c r="VGA73" s="49" t="s">
        <v>44</v>
      </c>
      <c r="VGB73" s="51">
        <v>45117</v>
      </c>
      <c r="VGC73" s="49"/>
      <c r="VGD73" s="49" t="s">
        <v>43</v>
      </c>
      <c r="VGE73" s="49" t="s">
        <v>45</v>
      </c>
      <c r="VGF73" s="49" t="s">
        <v>42</v>
      </c>
      <c r="VGG73" s="49" t="s">
        <v>0</v>
      </c>
      <c r="VGH73" s="49">
        <v>0</v>
      </c>
      <c r="VGI73" s="49">
        <v>1</v>
      </c>
      <c r="VGJ73" s="58">
        <v>2.5</v>
      </c>
      <c r="VGK73" s="58">
        <v>5</v>
      </c>
      <c r="VGL73" s="58">
        <v>4</v>
      </c>
      <c r="VGM73" s="49">
        <f>INDEX($T$2:$T$11,MATCH(VGI73,$R$2:$R$11,0))</f>
        <v>0.37</v>
      </c>
      <c r="VGN73" s="49">
        <f t="shared" si="470"/>
        <v>50</v>
      </c>
      <c r="VGO73" s="57">
        <f t="shared" si="471"/>
        <v>18.5</v>
      </c>
      <c r="VGP73" s="59" t="s">
        <v>44</v>
      </c>
      <c r="VGQ73" s="49" t="s">
        <v>44</v>
      </c>
      <c r="VGR73" s="51">
        <v>45117</v>
      </c>
      <c r="VGS73" s="49"/>
      <c r="VGT73" s="49" t="s">
        <v>43</v>
      </c>
      <c r="VGU73" s="49" t="s">
        <v>45</v>
      </c>
      <c r="VGV73" s="49" t="s">
        <v>42</v>
      </c>
      <c r="VGW73" s="49" t="s">
        <v>0</v>
      </c>
      <c r="VGX73" s="49">
        <v>0</v>
      </c>
      <c r="VGY73" s="49">
        <v>1</v>
      </c>
      <c r="VGZ73" s="58">
        <v>2.5</v>
      </c>
      <c r="VHA73" s="58">
        <v>5</v>
      </c>
      <c r="VHB73" s="58">
        <v>4</v>
      </c>
      <c r="VHC73" s="49">
        <f>INDEX($T$2:$T$11,MATCH(VGY73,$R$2:$R$11,0))</f>
        <v>0.37</v>
      </c>
      <c r="VHD73" s="49">
        <f t="shared" si="470"/>
        <v>50</v>
      </c>
      <c r="VHE73" s="57">
        <f t="shared" si="471"/>
        <v>18.5</v>
      </c>
      <c r="VHF73" s="59" t="s">
        <v>44</v>
      </c>
      <c r="VHG73" s="49" t="s">
        <v>44</v>
      </c>
      <c r="VHH73" s="51">
        <v>45117</v>
      </c>
      <c r="VHI73" s="49"/>
      <c r="VHJ73" s="49" t="s">
        <v>43</v>
      </c>
      <c r="VHK73" s="49" t="s">
        <v>45</v>
      </c>
      <c r="VHL73" s="49" t="s">
        <v>42</v>
      </c>
      <c r="VHM73" s="49" t="s">
        <v>0</v>
      </c>
      <c r="VHN73" s="49">
        <v>0</v>
      </c>
      <c r="VHO73" s="49">
        <v>1</v>
      </c>
      <c r="VHP73" s="58">
        <v>2.5</v>
      </c>
      <c r="VHQ73" s="58">
        <v>5</v>
      </c>
      <c r="VHR73" s="58">
        <v>4</v>
      </c>
      <c r="VHS73" s="49">
        <f>INDEX($T$2:$T$11,MATCH(VHO73,$R$2:$R$11,0))</f>
        <v>0.37</v>
      </c>
      <c r="VHT73" s="49">
        <f t="shared" si="470"/>
        <v>50</v>
      </c>
      <c r="VHU73" s="57">
        <f t="shared" si="471"/>
        <v>18.5</v>
      </c>
      <c r="VHV73" s="59" t="s">
        <v>44</v>
      </c>
      <c r="VHW73" s="49" t="s">
        <v>44</v>
      </c>
      <c r="VHX73" s="51">
        <v>45117</v>
      </c>
      <c r="VHY73" s="49"/>
      <c r="VHZ73" s="49" t="s">
        <v>43</v>
      </c>
      <c r="VIA73" s="49" t="s">
        <v>45</v>
      </c>
      <c r="VIB73" s="49" t="s">
        <v>42</v>
      </c>
      <c r="VIC73" s="49" t="s">
        <v>0</v>
      </c>
      <c r="VID73" s="49">
        <v>0</v>
      </c>
      <c r="VIE73" s="49">
        <v>1</v>
      </c>
      <c r="VIF73" s="58">
        <v>2.5</v>
      </c>
      <c r="VIG73" s="58">
        <v>5</v>
      </c>
      <c r="VIH73" s="58">
        <v>4</v>
      </c>
      <c r="VII73" s="49">
        <f>INDEX($T$2:$T$11,MATCH(VIE73,$R$2:$R$11,0))</f>
        <v>0.37</v>
      </c>
      <c r="VIJ73" s="49">
        <f t="shared" ref="VIJ73:VKF73" si="472">VIF73*VIG73*VIH73</f>
        <v>50</v>
      </c>
      <c r="VIK73" s="57">
        <f t="shared" ref="VIK73:VKG73" si="473">VII73*VIJ73</f>
        <v>18.5</v>
      </c>
      <c r="VIL73" s="59" t="s">
        <v>44</v>
      </c>
      <c r="VIM73" s="49" t="s">
        <v>44</v>
      </c>
      <c r="VIN73" s="51">
        <v>45117</v>
      </c>
      <c r="VIO73" s="49"/>
      <c r="VIP73" s="49" t="s">
        <v>43</v>
      </c>
      <c r="VIQ73" s="49" t="s">
        <v>45</v>
      </c>
      <c r="VIR73" s="49" t="s">
        <v>42</v>
      </c>
      <c r="VIS73" s="49" t="s">
        <v>0</v>
      </c>
      <c r="VIT73" s="49">
        <v>0</v>
      </c>
      <c r="VIU73" s="49">
        <v>1</v>
      </c>
      <c r="VIV73" s="58">
        <v>2.5</v>
      </c>
      <c r="VIW73" s="58">
        <v>5</v>
      </c>
      <c r="VIX73" s="58">
        <v>4</v>
      </c>
      <c r="VIY73" s="49">
        <f>INDEX($T$2:$T$11,MATCH(VIU73,$R$2:$R$11,0))</f>
        <v>0.37</v>
      </c>
      <c r="VIZ73" s="49">
        <f t="shared" si="472"/>
        <v>50</v>
      </c>
      <c r="VJA73" s="57">
        <f t="shared" si="473"/>
        <v>18.5</v>
      </c>
      <c r="VJB73" s="59" t="s">
        <v>44</v>
      </c>
      <c r="VJC73" s="49" t="s">
        <v>44</v>
      </c>
      <c r="VJD73" s="51">
        <v>45117</v>
      </c>
      <c r="VJE73" s="49"/>
      <c r="VJF73" s="49" t="s">
        <v>43</v>
      </c>
      <c r="VJG73" s="49" t="s">
        <v>45</v>
      </c>
      <c r="VJH73" s="49" t="s">
        <v>42</v>
      </c>
      <c r="VJI73" s="49" t="s">
        <v>0</v>
      </c>
      <c r="VJJ73" s="49">
        <v>0</v>
      </c>
      <c r="VJK73" s="49">
        <v>1</v>
      </c>
      <c r="VJL73" s="58">
        <v>2.5</v>
      </c>
      <c r="VJM73" s="58">
        <v>5</v>
      </c>
      <c r="VJN73" s="58">
        <v>4</v>
      </c>
      <c r="VJO73" s="49">
        <f>INDEX($T$2:$T$11,MATCH(VJK73,$R$2:$R$11,0))</f>
        <v>0.37</v>
      </c>
      <c r="VJP73" s="49">
        <f t="shared" si="472"/>
        <v>50</v>
      </c>
      <c r="VJQ73" s="57">
        <f t="shared" si="473"/>
        <v>18.5</v>
      </c>
      <c r="VJR73" s="59" t="s">
        <v>44</v>
      </c>
      <c r="VJS73" s="49" t="s">
        <v>44</v>
      </c>
      <c r="VJT73" s="51">
        <v>45117</v>
      </c>
      <c r="VJU73" s="49"/>
      <c r="VJV73" s="49" t="s">
        <v>43</v>
      </c>
      <c r="VJW73" s="49" t="s">
        <v>45</v>
      </c>
      <c r="VJX73" s="49" t="s">
        <v>42</v>
      </c>
      <c r="VJY73" s="49" t="s">
        <v>0</v>
      </c>
      <c r="VJZ73" s="49">
        <v>0</v>
      </c>
      <c r="VKA73" s="49">
        <v>1</v>
      </c>
      <c r="VKB73" s="58">
        <v>2.5</v>
      </c>
      <c r="VKC73" s="58">
        <v>5</v>
      </c>
      <c r="VKD73" s="58">
        <v>4</v>
      </c>
      <c r="VKE73" s="49">
        <f>INDEX($T$2:$T$11,MATCH(VKA73,$R$2:$R$11,0))</f>
        <v>0.37</v>
      </c>
      <c r="VKF73" s="49">
        <f t="shared" si="472"/>
        <v>50</v>
      </c>
      <c r="VKG73" s="57">
        <f t="shared" si="473"/>
        <v>18.5</v>
      </c>
      <c r="VKH73" s="59" t="s">
        <v>44</v>
      </c>
      <c r="VKI73" s="49" t="s">
        <v>44</v>
      </c>
      <c r="VKJ73" s="51">
        <v>45117</v>
      </c>
      <c r="VKK73" s="49"/>
      <c r="VKL73" s="49" t="s">
        <v>43</v>
      </c>
      <c r="VKM73" s="49" t="s">
        <v>45</v>
      </c>
      <c r="VKN73" s="49" t="s">
        <v>42</v>
      </c>
      <c r="VKO73" s="49" t="s">
        <v>0</v>
      </c>
      <c r="VKP73" s="49">
        <v>0</v>
      </c>
      <c r="VKQ73" s="49">
        <v>1</v>
      </c>
      <c r="VKR73" s="58">
        <v>2.5</v>
      </c>
      <c r="VKS73" s="58">
        <v>5</v>
      </c>
      <c r="VKT73" s="58">
        <v>4</v>
      </c>
      <c r="VKU73" s="49">
        <f>INDEX($T$2:$T$11,MATCH(VKQ73,$R$2:$R$11,0))</f>
        <v>0.37</v>
      </c>
      <c r="VKV73" s="49">
        <f t="shared" ref="VKV73:VMR73" si="474">VKR73*VKS73*VKT73</f>
        <v>50</v>
      </c>
      <c r="VKW73" s="57">
        <f t="shared" ref="VKW73:VMS73" si="475">VKU73*VKV73</f>
        <v>18.5</v>
      </c>
      <c r="VKX73" s="59" t="s">
        <v>44</v>
      </c>
      <c r="VKY73" s="49" t="s">
        <v>44</v>
      </c>
      <c r="VKZ73" s="51">
        <v>45117</v>
      </c>
      <c r="VLA73" s="49"/>
      <c r="VLB73" s="49" t="s">
        <v>43</v>
      </c>
      <c r="VLC73" s="49" t="s">
        <v>45</v>
      </c>
      <c r="VLD73" s="49" t="s">
        <v>42</v>
      </c>
      <c r="VLE73" s="49" t="s">
        <v>0</v>
      </c>
      <c r="VLF73" s="49">
        <v>0</v>
      </c>
      <c r="VLG73" s="49">
        <v>1</v>
      </c>
      <c r="VLH73" s="58">
        <v>2.5</v>
      </c>
      <c r="VLI73" s="58">
        <v>5</v>
      </c>
      <c r="VLJ73" s="58">
        <v>4</v>
      </c>
      <c r="VLK73" s="49">
        <f>INDEX($T$2:$T$11,MATCH(VLG73,$R$2:$R$11,0))</f>
        <v>0.37</v>
      </c>
      <c r="VLL73" s="49">
        <f t="shared" si="474"/>
        <v>50</v>
      </c>
      <c r="VLM73" s="57">
        <f t="shared" si="475"/>
        <v>18.5</v>
      </c>
      <c r="VLN73" s="59" t="s">
        <v>44</v>
      </c>
      <c r="VLO73" s="49" t="s">
        <v>44</v>
      </c>
      <c r="VLP73" s="51">
        <v>45117</v>
      </c>
      <c r="VLQ73" s="49"/>
      <c r="VLR73" s="49" t="s">
        <v>43</v>
      </c>
      <c r="VLS73" s="49" t="s">
        <v>45</v>
      </c>
      <c r="VLT73" s="49" t="s">
        <v>42</v>
      </c>
      <c r="VLU73" s="49" t="s">
        <v>0</v>
      </c>
      <c r="VLV73" s="49">
        <v>0</v>
      </c>
      <c r="VLW73" s="49">
        <v>1</v>
      </c>
      <c r="VLX73" s="58">
        <v>2.5</v>
      </c>
      <c r="VLY73" s="58">
        <v>5</v>
      </c>
      <c r="VLZ73" s="58">
        <v>4</v>
      </c>
      <c r="VMA73" s="49">
        <f>INDEX($T$2:$T$11,MATCH(VLW73,$R$2:$R$11,0))</f>
        <v>0.37</v>
      </c>
      <c r="VMB73" s="49">
        <f t="shared" si="474"/>
        <v>50</v>
      </c>
      <c r="VMC73" s="57">
        <f t="shared" si="475"/>
        <v>18.5</v>
      </c>
      <c r="VMD73" s="59" t="s">
        <v>44</v>
      </c>
      <c r="VME73" s="49" t="s">
        <v>44</v>
      </c>
      <c r="VMF73" s="51">
        <v>45117</v>
      </c>
      <c r="VMG73" s="49"/>
      <c r="VMH73" s="49" t="s">
        <v>43</v>
      </c>
      <c r="VMI73" s="49" t="s">
        <v>45</v>
      </c>
      <c r="VMJ73" s="49" t="s">
        <v>42</v>
      </c>
      <c r="VMK73" s="49" t="s">
        <v>0</v>
      </c>
      <c r="VML73" s="49">
        <v>0</v>
      </c>
      <c r="VMM73" s="49">
        <v>1</v>
      </c>
      <c r="VMN73" s="58">
        <v>2.5</v>
      </c>
      <c r="VMO73" s="58">
        <v>5</v>
      </c>
      <c r="VMP73" s="58">
        <v>4</v>
      </c>
      <c r="VMQ73" s="49">
        <f>INDEX($T$2:$T$11,MATCH(VMM73,$R$2:$R$11,0))</f>
        <v>0.37</v>
      </c>
      <c r="VMR73" s="49">
        <f t="shared" si="474"/>
        <v>50</v>
      </c>
      <c r="VMS73" s="57">
        <f t="shared" si="475"/>
        <v>18.5</v>
      </c>
      <c r="VMT73" s="59" t="s">
        <v>44</v>
      </c>
      <c r="VMU73" s="49" t="s">
        <v>44</v>
      </c>
      <c r="VMV73" s="51">
        <v>45117</v>
      </c>
      <c r="VMW73" s="49"/>
      <c r="VMX73" s="49" t="s">
        <v>43</v>
      </c>
      <c r="VMY73" s="49" t="s">
        <v>45</v>
      </c>
      <c r="VMZ73" s="49" t="s">
        <v>42</v>
      </c>
      <c r="VNA73" s="49" t="s">
        <v>0</v>
      </c>
      <c r="VNB73" s="49">
        <v>0</v>
      </c>
      <c r="VNC73" s="49">
        <v>1</v>
      </c>
      <c r="VND73" s="58">
        <v>2.5</v>
      </c>
      <c r="VNE73" s="58">
        <v>5</v>
      </c>
      <c r="VNF73" s="58">
        <v>4</v>
      </c>
      <c r="VNG73" s="49">
        <f>INDEX($T$2:$T$11,MATCH(VNC73,$R$2:$R$11,0))</f>
        <v>0.37</v>
      </c>
      <c r="VNH73" s="49">
        <f t="shared" ref="VNH73:VPD73" si="476">VND73*VNE73*VNF73</f>
        <v>50</v>
      </c>
      <c r="VNI73" s="57">
        <f t="shared" ref="VNI73:VPE73" si="477">VNG73*VNH73</f>
        <v>18.5</v>
      </c>
      <c r="VNJ73" s="59" t="s">
        <v>44</v>
      </c>
      <c r="VNK73" s="49" t="s">
        <v>44</v>
      </c>
      <c r="VNL73" s="51">
        <v>45117</v>
      </c>
      <c r="VNM73" s="49"/>
      <c r="VNN73" s="49" t="s">
        <v>43</v>
      </c>
      <c r="VNO73" s="49" t="s">
        <v>45</v>
      </c>
      <c r="VNP73" s="49" t="s">
        <v>42</v>
      </c>
      <c r="VNQ73" s="49" t="s">
        <v>0</v>
      </c>
      <c r="VNR73" s="49">
        <v>0</v>
      </c>
      <c r="VNS73" s="49">
        <v>1</v>
      </c>
      <c r="VNT73" s="58">
        <v>2.5</v>
      </c>
      <c r="VNU73" s="58">
        <v>5</v>
      </c>
      <c r="VNV73" s="58">
        <v>4</v>
      </c>
      <c r="VNW73" s="49">
        <f>INDEX($T$2:$T$11,MATCH(VNS73,$R$2:$R$11,0))</f>
        <v>0.37</v>
      </c>
      <c r="VNX73" s="49">
        <f t="shared" si="476"/>
        <v>50</v>
      </c>
      <c r="VNY73" s="57">
        <f t="shared" si="477"/>
        <v>18.5</v>
      </c>
      <c r="VNZ73" s="59" t="s">
        <v>44</v>
      </c>
      <c r="VOA73" s="49" t="s">
        <v>44</v>
      </c>
      <c r="VOB73" s="51">
        <v>45117</v>
      </c>
      <c r="VOC73" s="49"/>
      <c r="VOD73" s="49" t="s">
        <v>43</v>
      </c>
      <c r="VOE73" s="49" t="s">
        <v>45</v>
      </c>
      <c r="VOF73" s="49" t="s">
        <v>42</v>
      </c>
      <c r="VOG73" s="49" t="s">
        <v>0</v>
      </c>
      <c r="VOH73" s="49">
        <v>0</v>
      </c>
      <c r="VOI73" s="49">
        <v>1</v>
      </c>
      <c r="VOJ73" s="58">
        <v>2.5</v>
      </c>
      <c r="VOK73" s="58">
        <v>5</v>
      </c>
      <c r="VOL73" s="58">
        <v>4</v>
      </c>
      <c r="VOM73" s="49">
        <f>INDEX($T$2:$T$11,MATCH(VOI73,$R$2:$R$11,0))</f>
        <v>0.37</v>
      </c>
      <c r="VON73" s="49">
        <f t="shared" si="476"/>
        <v>50</v>
      </c>
      <c r="VOO73" s="57">
        <f t="shared" si="477"/>
        <v>18.5</v>
      </c>
      <c r="VOP73" s="59" t="s">
        <v>44</v>
      </c>
      <c r="VOQ73" s="49" t="s">
        <v>44</v>
      </c>
      <c r="VOR73" s="51">
        <v>45117</v>
      </c>
      <c r="VOS73" s="49"/>
      <c r="VOT73" s="49" t="s">
        <v>43</v>
      </c>
      <c r="VOU73" s="49" t="s">
        <v>45</v>
      </c>
      <c r="VOV73" s="49" t="s">
        <v>42</v>
      </c>
      <c r="VOW73" s="49" t="s">
        <v>0</v>
      </c>
      <c r="VOX73" s="49">
        <v>0</v>
      </c>
      <c r="VOY73" s="49">
        <v>1</v>
      </c>
      <c r="VOZ73" s="58">
        <v>2.5</v>
      </c>
      <c r="VPA73" s="58">
        <v>5</v>
      </c>
      <c r="VPB73" s="58">
        <v>4</v>
      </c>
      <c r="VPC73" s="49">
        <f>INDEX($T$2:$T$11,MATCH(VOY73,$R$2:$R$11,0))</f>
        <v>0.37</v>
      </c>
      <c r="VPD73" s="49">
        <f t="shared" si="476"/>
        <v>50</v>
      </c>
      <c r="VPE73" s="57">
        <f t="shared" si="477"/>
        <v>18.5</v>
      </c>
      <c r="VPF73" s="59" t="s">
        <v>44</v>
      </c>
      <c r="VPG73" s="49" t="s">
        <v>44</v>
      </c>
      <c r="VPH73" s="51">
        <v>45117</v>
      </c>
      <c r="VPI73" s="49"/>
      <c r="VPJ73" s="49" t="s">
        <v>43</v>
      </c>
      <c r="VPK73" s="49" t="s">
        <v>45</v>
      </c>
      <c r="VPL73" s="49" t="s">
        <v>42</v>
      </c>
      <c r="VPM73" s="49" t="s">
        <v>0</v>
      </c>
      <c r="VPN73" s="49">
        <v>0</v>
      </c>
      <c r="VPO73" s="49">
        <v>1</v>
      </c>
      <c r="VPP73" s="58">
        <v>2.5</v>
      </c>
      <c r="VPQ73" s="58">
        <v>5</v>
      </c>
      <c r="VPR73" s="58">
        <v>4</v>
      </c>
      <c r="VPS73" s="49">
        <f>INDEX($T$2:$T$11,MATCH(VPO73,$R$2:$R$11,0))</f>
        <v>0.37</v>
      </c>
      <c r="VPT73" s="49">
        <f t="shared" ref="VPT73:VRP73" si="478">VPP73*VPQ73*VPR73</f>
        <v>50</v>
      </c>
      <c r="VPU73" s="57">
        <f t="shared" ref="VPU73:VRQ73" si="479">VPS73*VPT73</f>
        <v>18.5</v>
      </c>
      <c r="VPV73" s="59" t="s">
        <v>44</v>
      </c>
      <c r="VPW73" s="49" t="s">
        <v>44</v>
      </c>
      <c r="VPX73" s="51">
        <v>45117</v>
      </c>
      <c r="VPY73" s="49"/>
      <c r="VPZ73" s="49" t="s">
        <v>43</v>
      </c>
      <c r="VQA73" s="49" t="s">
        <v>45</v>
      </c>
      <c r="VQB73" s="49" t="s">
        <v>42</v>
      </c>
      <c r="VQC73" s="49" t="s">
        <v>0</v>
      </c>
      <c r="VQD73" s="49">
        <v>0</v>
      </c>
      <c r="VQE73" s="49">
        <v>1</v>
      </c>
      <c r="VQF73" s="58">
        <v>2.5</v>
      </c>
      <c r="VQG73" s="58">
        <v>5</v>
      </c>
      <c r="VQH73" s="58">
        <v>4</v>
      </c>
      <c r="VQI73" s="49">
        <f>INDEX($T$2:$T$11,MATCH(VQE73,$R$2:$R$11,0))</f>
        <v>0.37</v>
      </c>
      <c r="VQJ73" s="49">
        <f t="shared" si="478"/>
        <v>50</v>
      </c>
      <c r="VQK73" s="57">
        <f t="shared" si="479"/>
        <v>18.5</v>
      </c>
      <c r="VQL73" s="59" t="s">
        <v>44</v>
      </c>
      <c r="VQM73" s="49" t="s">
        <v>44</v>
      </c>
      <c r="VQN73" s="51">
        <v>45117</v>
      </c>
      <c r="VQO73" s="49"/>
      <c r="VQP73" s="49" t="s">
        <v>43</v>
      </c>
      <c r="VQQ73" s="49" t="s">
        <v>45</v>
      </c>
      <c r="VQR73" s="49" t="s">
        <v>42</v>
      </c>
      <c r="VQS73" s="49" t="s">
        <v>0</v>
      </c>
      <c r="VQT73" s="49">
        <v>0</v>
      </c>
      <c r="VQU73" s="49">
        <v>1</v>
      </c>
      <c r="VQV73" s="58">
        <v>2.5</v>
      </c>
      <c r="VQW73" s="58">
        <v>5</v>
      </c>
      <c r="VQX73" s="58">
        <v>4</v>
      </c>
      <c r="VQY73" s="49">
        <f>INDEX($T$2:$T$11,MATCH(VQU73,$R$2:$R$11,0))</f>
        <v>0.37</v>
      </c>
      <c r="VQZ73" s="49">
        <f t="shared" si="478"/>
        <v>50</v>
      </c>
      <c r="VRA73" s="57">
        <f t="shared" si="479"/>
        <v>18.5</v>
      </c>
      <c r="VRB73" s="59" t="s">
        <v>44</v>
      </c>
      <c r="VRC73" s="49" t="s">
        <v>44</v>
      </c>
      <c r="VRD73" s="51">
        <v>45117</v>
      </c>
      <c r="VRE73" s="49"/>
      <c r="VRF73" s="49" t="s">
        <v>43</v>
      </c>
      <c r="VRG73" s="49" t="s">
        <v>45</v>
      </c>
      <c r="VRH73" s="49" t="s">
        <v>42</v>
      </c>
      <c r="VRI73" s="49" t="s">
        <v>0</v>
      </c>
      <c r="VRJ73" s="49">
        <v>0</v>
      </c>
      <c r="VRK73" s="49">
        <v>1</v>
      </c>
      <c r="VRL73" s="58">
        <v>2.5</v>
      </c>
      <c r="VRM73" s="58">
        <v>5</v>
      </c>
      <c r="VRN73" s="58">
        <v>4</v>
      </c>
      <c r="VRO73" s="49">
        <f>INDEX($T$2:$T$11,MATCH(VRK73,$R$2:$R$11,0))</f>
        <v>0.37</v>
      </c>
      <c r="VRP73" s="49">
        <f t="shared" si="478"/>
        <v>50</v>
      </c>
      <c r="VRQ73" s="57">
        <f t="shared" si="479"/>
        <v>18.5</v>
      </c>
      <c r="VRR73" s="59" t="s">
        <v>44</v>
      </c>
      <c r="VRS73" s="49" t="s">
        <v>44</v>
      </c>
      <c r="VRT73" s="51">
        <v>45117</v>
      </c>
      <c r="VRU73" s="49"/>
      <c r="VRV73" s="49" t="s">
        <v>43</v>
      </c>
      <c r="VRW73" s="49" t="s">
        <v>45</v>
      </c>
      <c r="VRX73" s="49" t="s">
        <v>42</v>
      </c>
      <c r="VRY73" s="49" t="s">
        <v>0</v>
      </c>
      <c r="VRZ73" s="49">
        <v>0</v>
      </c>
      <c r="VSA73" s="49">
        <v>1</v>
      </c>
      <c r="VSB73" s="58">
        <v>2.5</v>
      </c>
      <c r="VSC73" s="58">
        <v>5</v>
      </c>
      <c r="VSD73" s="58">
        <v>4</v>
      </c>
      <c r="VSE73" s="49">
        <f>INDEX($T$2:$T$11,MATCH(VSA73,$R$2:$R$11,0))</f>
        <v>0.37</v>
      </c>
      <c r="VSF73" s="49">
        <f t="shared" ref="VSF73:VUB73" si="480">VSB73*VSC73*VSD73</f>
        <v>50</v>
      </c>
      <c r="VSG73" s="57">
        <f t="shared" ref="VSG73:VUC73" si="481">VSE73*VSF73</f>
        <v>18.5</v>
      </c>
      <c r="VSH73" s="59" t="s">
        <v>44</v>
      </c>
      <c r="VSI73" s="49" t="s">
        <v>44</v>
      </c>
      <c r="VSJ73" s="51">
        <v>45117</v>
      </c>
      <c r="VSK73" s="49"/>
      <c r="VSL73" s="49" t="s">
        <v>43</v>
      </c>
      <c r="VSM73" s="49" t="s">
        <v>45</v>
      </c>
      <c r="VSN73" s="49" t="s">
        <v>42</v>
      </c>
      <c r="VSO73" s="49" t="s">
        <v>0</v>
      </c>
      <c r="VSP73" s="49">
        <v>0</v>
      </c>
      <c r="VSQ73" s="49">
        <v>1</v>
      </c>
      <c r="VSR73" s="58">
        <v>2.5</v>
      </c>
      <c r="VSS73" s="58">
        <v>5</v>
      </c>
      <c r="VST73" s="58">
        <v>4</v>
      </c>
      <c r="VSU73" s="49">
        <f>INDEX($T$2:$T$11,MATCH(VSQ73,$R$2:$R$11,0))</f>
        <v>0.37</v>
      </c>
      <c r="VSV73" s="49">
        <f t="shared" si="480"/>
        <v>50</v>
      </c>
      <c r="VSW73" s="57">
        <f t="shared" si="481"/>
        <v>18.5</v>
      </c>
      <c r="VSX73" s="59" t="s">
        <v>44</v>
      </c>
      <c r="VSY73" s="49" t="s">
        <v>44</v>
      </c>
      <c r="VSZ73" s="51">
        <v>45117</v>
      </c>
      <c r="VTA73" s="49"/>
      <c r="VTB73" s="49" t="s">
        <v>43</v>
      </c>
      <c r="VTC73" s="49" t="s">
        <v>45</v>
      </c>
      <c r="VTD73" s="49" t="s">
        <v>42</v>
      </c>
      <c r="VTE73" s="49" t="s">
        <v>0</v>
      </c>
      <c r="VTF73" s="49">
        <v>0</v>
      </c>
      <c r="VTG73" s="49">
        <v>1</v>
      </c>
      <c r="VTH73" s="58">
        <v>2.5</v>
      </c>
      <c r="VTI73" s="58">
        <v>5</v>
      </c>
      <c r="VTJ73" s="58">
        <v>4</v>
      </c>
      <c r="VTK73" s="49">
        <f>INDEX($T$2:$T$11,MATCH(VTG73,$R$2:$R$11,0))</f>
        <v>0.37</v>
      </c>
      <c r="VTL73" s="49">
        <f t="shared" si="480"/>
        <v>50</v>
      </c>
      <c r="VTM73" s="57">
        <f t="shared" si="481"/>
        <v>18.5</v>
      </c>
      <c r="VTN73" s="59" t="s">
        <v>44</v>
      </c>
      <c r="VTO73" s="49" t="s">
        <v>44</v>
      </c>
      <c r="VTP73" s="51">
        <v>45117</v>
      </c>
      <c r="VTQ73" s="49"/>
      <c r="VTR73" s="49" t="s">
        <v>43</v>
      </c>
      <c r="VTS73" s="49" t="s">
        <v>45</v>
      </c>
      <c r="VTT73" s="49" t="s">
        <v>42</v>
      </c>
      <c r="VTU73" s="49" t="s">
        <v>0</v>
      </c>
      <c r="VTV73" s="49">
        <v>0</v>
      </c>
      <c r="VTW73" s="49">
        <v>1</v>
      </c>
      <c r="VTX73" s="58">
        <v>2.5</v>
      </c>
      <c r="VTY73" s="58">
        <v>5</v>
      </c>
      <c r="VTZ73" s="58">
        <v>4</v>
      </c>
      <c r="VUA73" s="49">
        <f>INDEX($T$2:$T$11,MATCH(VTW73,$R$2:$R$11,0))</f>
        <v>0.37</v>
      </c>
      <c r="VUB73" s="49">
        <f t="shared" si="480"/>
        <v>50</v>
      </c>
      <c r="VUC73" s="57">
        <f t="shared" si="481"/>
        <v>18.5</v>
      </c>
      <c r="VUD73" s="59" t="s">
        <v>44</v>
      </c>
      <c r="VUE73" s="49" t="s">
        <v>44</v>
      </c>
      <c r="VUF73" s="51">
        <v>45117</v>
      </c>
      <c r="VUG73" s="49"/>
      <c r="VUH73" s="49" t="s">
        <v>43</v>
      </c>
      <c r="VUI73" s="49" t="s">
        <v>45</v>
      </c>
      <c r="VUJ73" s="49" t="s">
        <v>42</v>
      </c>
      <c r="VUK73" s="49" t="s">
        <v>0</v>
      </c>
      <c r="VUL73" s="49">
        <v>0</v>
      </c>
      <c r="VUM73" s="49">
        <v>1</v>
      </c>
      <c r="VUN73" s="58">
        <v>2.5</v>
      </c>
      <c r="VUO73" s="58">
        <v>5</v>
      </c>
      <c r="VUP73" s="58">
        <v>4</v>
      </c>
      <c r="VUQ73" s="49">
        <f>INDEX($T$2:$T$11,MATCH(VUM73,$R$2:$R$11,0))</f>
        <v>0.37</v>
      </c>
      <c r="VUR73" s="49">
        <f t="shared" ref="VUR73:VWN73" si="482">VUN73*VUO73*VUP73</f>
        <v>50</v>
      </c>
      <c r="VUS73" s="57">
        <f t="shared" ref="VUS73:VWO73" si="483">VUQ73*VUR73</f>
        <v>18.5</v>
      </c>
      <c r="VUT73" s="59" t="s">
        <v>44</v>
      </c>
      <c r="VUU73" s="49" t="s">
        <v>44</v>
      </c>
      <c r="VUV73" s="51">
        <v>45117</v>
      </c>
      <c r="VUW73" s="49"/>
      <c r="VUX73" s="49" t="s">
        <v>43</v>
      </c>
      <c r="VUY73" s="49" t="s">
        <v>45</v>
      </c>
      <c r="VUZ73" s="49" t="s">
        <v>42</v>
      </c>
      <c r="VVA73" s="49" t="s">
        <v>0</v>
      </c>
      <c r="VVB73" s="49">
        <v>0</v>
      </c>
      <c r="VVC73" s="49">
        <v>1</v>
      </c>
      <c r="VVD73" s="58">
        <v>2.5</v>
      </c>
      <c r="VVE73" s="58">
        <v>5</v>
      </c>
      <c r="VVF73" s="58">
        <v>4</v>
      </c>
      <c r="VVG73" s="49">
        <f>INDEX($T$2:$T$11,MATCH(VVC73,$R$2:$R$11,0))</f>
        <v>0.37</v>
      </c>
      <c r="VVH73" s="49">
        <f t="shared" si="482"/>
        <v>50</v>
      </c>
      <c r="VVI73" s="57">
        <f t="shared" si="483"/>
        <v>18.5</v>
      </c>
      <c r="VVJ73" s="59" t="s">
        <v>44</v>
      </c>
      <c r="VVK73" s="49" t="s">
        <v>44</v>
      </c>
      <c r="VVL73" s="51">
        <v>45117</v>
      </c>
      <c r="VVM73" s="49"/>
      <c r="VVN73" s="49" t="s">
        <v>43</v>
      </c>
      <c r="VVO73" s="49" t="s">
        <v>45</v>
      </c>
      <c r="VVP73" s="49" t="s">
        <v>42</v>
      </c>
      <c r="VVQ73" s="49" t="s">
        <v>0</v>
      </c>
      <c r="VVR73" s="49">
        <v>0</v>
      </c>
      <c r="VVS73" s="49">
        <v>1</v>
      </c>
      <c r="VVT73" s="58">
        <v>2.5</v>
      </c>
      <c r="VVU73" s="58">
        <v>5</v>
      </c>
      <c r="VVV73" s="58">
        <v>4</v>
      </c>
      <c r="VVW73" s="49">
        <f>INDEX($T$2:$T$11,MATCH(VVS73,$R$2:$R$11,0))</f>
        <v>0.37</v>
      </c>
      <c r="VVX73" s="49">
        <f t="shared" si="482"/>
        <v>50</v>
      </c>
      <c r="VVY73" s="57">
        <f t="shared" si="483"/>
        <v>18.5</v>
      </c>
      <c r="VVZ73" s="59" t="s">
        <v>44</v>
      </c>
      <c r="VWA73" s="49" t="s">
        <v>44</v>
      </c>
      <c r="VWB73" s="51">
        <v>45117</v>
      </c>
      <c r="VWC73" s="49"/>
      <c r="VWD73" s="49" t="s">
        <v>43</v>
      </c>
      <c r="VWE73" s="49" t="s">
        <v>45</v>
      </c>
      <c r="VWF73" s="49" t="s">
        <v>42</v>
      </c>
      <c r="VWG73" s="49" t="s">
        <v>0</v>
      </c>
      <c r="VWH73" s="49">
        <v>0</v>
      </c>
      <c r="VWI73" s="49">
        <v>1</v>
      </c>
      <c r="VWJ73" s="58">
        <v>2.5</v>
      </c>
      <c r="VWK73" s="58">
        <v>5</v>
      </c>
      <c r="VWL73" s="58">
        <v>4</v>
      </c>
      <c r="VWM73" s="49">
        <f>INDEX($T$2:$T$11,MATCH(VWI73,$R$2:$R$11,0))</f>
        <v>0.37</v>
      </c>
      <c r="VWN73" s="49">
        <f t="shared" si="482"/>
        <v>50</v>
      </c>
      <c r="VWO73" s="57">
        <f t="shared" si="483"/>
        <v>18.5</v>
      </c>
      <c r="VWP73" s="59" t="s">
        <v>44</v>
      </c>
      <c r="VWQ73" s="49" t="s">
        <v>44</v>
      </c>
      <c r="VWR73" s="51">
        <v>45117</v>
      </c>
      <c r="VWS73" s="49"/>
      <c r="VWT73" s="49" t="s">
        <v>43</v>
      </c>
      <c r="VWU73" s="49" t="s">
        <v>45</v>
      </c>
      <c r="VWV73" s="49" t="s">
        <v>42</v>
      </c>
      <c r="VWW73" s="49" t="s">
        <v>0</v>
      </c>
      <c r="VWX73" s="49">
        <v>0</v>
      </c>
      <c r="VWY73" s="49">
        <v>1</v>
      </c>
      <c r="VWZ73" s="58">
        <v>2.5</v>
      </c>
      <c r="VXA73" s="58">
        <v>5</v>
      </c>
      <c r="VXB73" s="58">
        <v>4</v>
      </c>
      <c r="VXC73" s="49">
        <f>INDEX($T$2:$T$11,MATCH(VWY73,$R$2:$R$11,0))</f>
        <v>0.37</v>
      </c>
      <c r="VXD73" s="49">
        <f t="shared" ref="VXD73:VYZ73" si="484">VWZ73*VXA73*VXB73</f>
        <v>50</v>
      </c>
      <c r="VXE73" s="57">
        <f t="shared" ref="VXE73:VZA73" si="485">VXC73*VXD73</f>
        <v>18.5</v>
      </c>
      <c r="VXF73" s="59" t="s">
        <v>44</v>
      </c>
      <c r="VXG73" s="49" t="s">
        <v>44</v>
      </c>
      <c r="VXH73" s="51">
        <v>45117</v>
      </c>
      <c r="VXI73" s="49"/>
      <c r="VXJ73" s="49" t="s">
        <v>43</v>
      </c>
      <c r="VXK73" s="49" t="s">
        <v>45</v>
      </c>
      <c r="VXL73" s="49" t="s">
        <v>42</v>
      </c>
      <c r="VXM73" s="49" t="s">
        <v>0</v>
      </c>
      <c r="VXN73" s="49">
        <v>0</v>
      </c>
      <c r="VXO73" s="49">
        <v>1</v>
      </c>
      <c r="VXP73" s="58">
        <v>2.5</v>
      </c>
      <c r="VXQ73" s="58">
        <v>5</v>
      </c>
      <c r="VXR73" s="58">
        <v>4</v>
      </c>
      <c r="VXS73" s="49">
        <f>INDEX($T$2:$T$11,MATCH(VXO73,$R$2:$R$11,0))</f>
        <v>0.37</v>
      </c>
      <c r="VXT73" s="49">
        <f t="shared" si="484"/>
        <v>50</v>
      </c>
      <c r="VXU73" s="57">
        <f t="shared" si="485"/>
        <v>18.5</v>
      </c>
      <c r="VXV73" s="59" t="s">
        <v>44</v>
      </c>
      <c r="VXW73" s="49" t="s">
        <v>44</v>
      </c>
      <c r="VXX73" s="51">
        <v>45117</v>
      </c>
      <c r="VXY73" s="49"/>
      <c r="VXZ73" s="49" t="s">
        <v>43</v>
      </c>
      <c r="VYA73" s="49" t="s">
        <v>45</v>
      </c>
      <c r="VYB73" s="49" t="s">
        <v>42</v>
      </c>
      <c r="VYC73" s="49" t="s">
        <v>0</v>
      </c>
      <c r="VYD73" s="49">
        <v>0</v>
      </c>
      <c r="VYE73" s="49">
        <v>1</v>
      </c>
      <c r="VYF73" s="58">
        <v>2.5</v>
      </c>
      <c r="VYG73" s="58">
        <v>5</v>
      </c>
      <c r="VYH73" s="58">
        <v>4</v>
      </c>
      <c r="VYI73" s="49">
        <f>INDEX($T$2:$T$11,MATCH(VYE73,$R$2:$R$11,0))</f>
        <v>0.37</v>
      </c>
      <c r="VYJ73" s="49">
        <f t="shared" si="484"/>
        <v>50</v>
      </c>
      <c r="VYK73" s="57">
        <f t="shared" si="485"/>
        <v>18.5</v>
      </c>
      <c r="VYL73" s="59" t="s">
        <v>44</v>
      </c>
      <c r="VYM73" s="49" t="s">
        <v>44</v>
      </c>
      <c r="VYN73" s="51">
        <v>45117</v>
      </c>
      <c r="VYO73" s="49"/>
      <c r="VYP73" s="49" t="s">
        <v>43</v>
      </c>
      <c r="VYQ73" s="49" t="s">
        <v>45</v>
      </c>
      <c r="VYR73" s="49" t="s">
        <v>42</v>
      </c>
      <c r="VYS73" s="49" t="s">
        <v>0</v>
      </c>
      <c r="VYT73" s="49">
        <v>0</v>
      </c>
      <c r="VYU73" s="49">
        <v>1</v>
      </c>
      <c r="VYV73" s="58">
        <v>2.5</v>
      </c>
      <c r="VYW73" s="58">
        <v>5</v>
      </c>
      <c r="VYX73" s="58">
        <v>4</v>
      </c>
      <c r="VYY73" s="49">
        <f>INDEX($T$2:$T$11,MATCH(VYU73,$R$2:$R$11,0))</f>
        <v>0.37</v>
      </c>
      <c r="VYZ73" s="49">
        <f t="shared" si="484"/>
        <v>50</v>
      </c>
      <c r="VZA73" s="57">
        <f t="shared" si="485"/>
        <v>18.5</v>
      </c>
      <c r="VZB73" s="59" t="s">
        <v>44</v>
      </c>
      <c r="VZC73" s="49" t="s">
        <v>44</v>
      </c>
      <c r="VZD73" s="51">
        <v>45117</v>
      </c>
      <c r="VZE73" s="49"/>
      <c r="VZF73" s="49" t="s">
        <v>43</v>
      </c>
      <c r="VZG73" s="49" t="s">
        <v>45</v>
      </c>
      <c r="VZH73" s="49" t="s">
        <v>42</v>
      </c>
      <c r="VZI73" s="49" t="s">
        <v>0</v>
      </c>
      <c r="VZJ73" s="49">
        <v>0</v>
      </c>
      <c r="VZK73" s="49">
        <v>1</v>
      </c>
      <c r="VZL73" s="58">
        <v>2.5</v>
      </c>
      <c r="VZM73" s="58">
        <v>5</v>
      </c>
      <c r="VZN73" s="58">
        <v>4</v>
      </c>
      <c r="VZO73" s="49">
        <f>INDEX($T$2:$T$11,MATCH(VZK73,$R$2:$R$11,0))</f>
        <v>0.37</v>
      </c>
      <c r="VZP73" s="49">
        <f t="shared" ref="VZP73:WBL73" si="486">VZL73*VZM73*VZN73</f>
        <v>50</v>
      </c>
      <c r="VZQ73" s="57">
        <f t="shared" ref="VZQ73:WBM73" si="487">VZO73*VZP73</f>
        <v>18.5</v>
      </c>
      <c r="VZR73" s="59" t="s">
        <v>44</v>
      </c>
      <c r="VZS73" s="49" t="s">
        <v>44</v>
      </c>
      <c r="VZT73" s="51">
        <v>45117</v>
      </c>
      <c r="VZU73" s="49"/>
      <c r="VZV73" s="49" t="s">
        <v>43</v>
      </c>
      <c r="VZW73" s="49" t="s">
        <v>45</v>
      </c>
      <c r="VZX73" s="49" t="s">
        <v>42</v>
      </c>
      <c r="VZY73" s="49" t="s">
        <v>0</v>
      </c>
      <c r="VZZ73" s="49">
        <v>0</v>
      </c>
      <c r="WAA73" s="49">
        <v>1</v>
      </c>
      <c r="WAB73" s="58">
        <v>2.5</v>
      </c>
      <c r="WAC73" s="58">
        <v>5</v>
      </c>
      <c r="WAD73" s="58">
        <v>4</v>
      </c>
      <c r="WAE73" s="49">
        <f>INDEX($T$2:$T$11,MATCH(WAA73,$R$2:$R$11,0))</f>
        <v>0.37</v>
      </c>
      <c r="WAF73" s="49">
        <f t="shared" si="486"/>
        <v>50</v>
      </c>
      <c r="WAG73" s="57">
        <f t="shared" si="487"/>
        <v>18.5</v>
      </c>
      <c r="WAH73" s="59" t="s">
        <v>44</v>
      </c>
      <c r="WAI73" s="49" t="s">
        <v>44</v>
      </c>
      <c r="WAJ73" s="51">
        <v>45117</v>
      </c>
      <c r="WAK73" s="49"/>
      <c r="WAL73" s="49" t="s">
        <v>43</v>
      </c>
      <c r="WAM73" s="49" t="s">
        <v>45</v>
      </c>
      <c r="WAN73" s="49" t="s">
        <v>42</v>
      </c>
      <c r="WAO73" s="49" t="s">
        <v>0</v>
      </c>
      <c r="WAP73" s="49">
        <v>0</v>
      </c>
      <c r="WAQ73" s="49">
        <v>1</v>
      </c>
      <c r="WAR73" s="58">
        <v>2.5</v>
      </c>
      <c r="WAS73" s="58">
        <v>5</v>
      </c>
      <c r="WAT73" s="58">
        <v>4</v>
      </c>
      <c r="WAU73" s="49">
        <f>INDEX($T$2:$T$11,MATCH(WAQ73,$R$2:$R$11,0))</f>
        <v>0.37</v>
      </c>
      <c r="WAV73" s="49">
        <f t="shared" si="486"/>
        <v>50</v>
      </c>
      <c r="WAW73" s="57">
        <f t="shared" si="487"/>
        <v>18.5</v>
      </c>
      <c r="WAX73" s="59" t="s">
        <v>44</v>
      </c>
      <c r="WAY73" s="49" t="s">
        <v>44</v>
      </c>
      <c r="WAZ73" s="51">
        <v>45117</v>
      </c>
      <c r="WBA73" s="49"/>
      <c r="WBB73" s="49" t="s">
        <v>43</v>
      </c>
      <c r="WBC73" s="49" t="s">
        <v>45</v>
      </c>
      <c r="WBD73" s="49" t="s">
        <v>42</v>
      </c>
      <c r="WBE73" s="49" t="s">
        <v>0</v>
      </c>
      <c r="WBF73" s="49">
        <v>0</v>
      </c>
      <c r="WBG73" s="49">
        <v>1</v>
      </c>
      <c r="WBH73" s="58">
        <v>2.5</v>
      </c>
      <c r="WBI73" s="58">
        <v>5</v>
      </c>
      <c r="WBJ73" s="58">
        <v>4</v>
      </c>
      <c r="WBK73" s="49">
        <f>INDEX($T$2:$T$11,MATCH(WBG73,$R$2:$R$11,0))</f>
        <v>0.37</v>
      </c>
      <c r="WBL73" s="49">
        <f t="shared" si="486"/>
        <v>50</v>
      </c>
      <c r="WBM73" s="57">
        <f t="shared" si="487"/>
        <v>18.5</v>
      </c>
      <c r="WBN73" s="59" t="s">
        <v>44</v>
      </c>
      <c r="WBO73" s="49" t="s">
        <v>44</v>
      </c>
      <c r="WBP73" s="51">
        <v>45117</v>
      </c>
      <c r="WBQ73" s="49"/>
      <c r="WBR73" s="49" t="s">
        <v>43</v>
      </c>
      <c r="WBS73" s="49" t="s">
        <v>45</v>
      </c>
      <c r="WBT73" s="49" t="s">
        <v>42</v>
      </c>
      <c r="WBU73" s="49" t="s">
        <v>0</v>
      </c>
      <c r="WBV73" s="49">
        <v>0</v>
      </c>
      <c r="WBW73" s="49">
        <v>1</v>
      </c>
      <c r="WBX73" s="58">
        <v>2.5</v>
      </c>
      <c r="WBY73" s="58">
        <v>5</v>
      </c>
      <c r="WBZ73" s="58">
        <v>4</v>
      </c>
      <c r="WCA73" s="49">
        <f>INDEX($T$2:$T$11,MATCH(WBW73,$R$2:$R$11,0))</f>
        <v>0.37</v>
      </c>
      <c r="WCB73" s="49">
        <f t="shared" ref="WCB73:WDX73" si="488">WBX73*WBY73*WBZ73</f>
        <v>50</v>
      </c>
      <c r="WCC73" s="57">
        <f t="shared" ref="WCC73:WDY73" si="489">WCA73*WCB73</f>
        <v>18.5</v>
      </c>
      <c r="WCD73" s="59" t="s">
        <v>44</v>
      </c>
      <c r="WCE73" s="49" t="s">
        <v>44</v>
      </c>
      <c r="WCF73" s="51">
        <v>45117</v>
      </c>
      <c r="WCG73" s="49"/>
      <c r="WCH73" s="49" t="s">
        <v>43</v>
      </c>
      <c r="WCI73" s="49" t="s">
        <v>45</v>
      </c>
      <c r="WCJ73" s="49" t="s">
        <v>42</v>
      </c>
      <c r="WCK73" s="49" t="s">
        <v>0</v>
      </c>
      <c r="WCL73" s="49">
        <v>0</v>
      </c>
      <c r="WCM73" s="49">
        <v>1</v>
      </c>
      <c r="WCN73" s="58">
        <v>2.5</v>
      </c>
      <c r="WCO73" s="58">
        <v>5</v>
      </c>
      <c r="WCP73" s="58">
        <v>4</v>
      </c>
      <c r="WCQ73" s="49">
        <f>INDEX($T$2:$T$11,MATCH(WCM73,$R$2:$R$11,0))</f>
        <v>0.37</v>
      </c>
      <c r="WCR73" s="49">
        <f t="shared" si="488"/>
        <v>50</v>
      </c>
      <c r="WCS73" s="57">
        <f t="shared" si="489"/>
        <v>18.5</v>
      </c>
      <c r="WCT73" s="59" t="s">
        <v>44</v>
      </c>
      <c r="WCU73" s="49" t="s">
        <v>44</v>
      </c>
      <c r="WCV73" s="51">
        <v>45117</v>
      </c>
      <c r="WCW73" s="49"/>
      <c r="WCX73" s="49" t="s">
        <v>43</v>
      </c>
      <c r="WCY73" s="49" t="s">
        <v>45</v>
      </c>
      <c r="WCZ73" s="49" t="s">
        <v>42</v>
      </c>
      <c r="WDA73" s="49" t="s">
        <v>0</v>
      </c>
      <c r="WDB73" s="49">
        <v>0</v>
      </c>
      <c r="WDC73" s="49">
        <v>1</v>
      </c>
      <c r="WDD73" s="58">
        <v>2.5</v>
      </c>
      <c r="WDE73" s="58">
        <v>5</v>
      </c>
      <c r="WDF73" s="58">
        <v>4</v>
      </c>
      <c r="WDG73" s="49">
        <f>INDEX($T$2:$T$11,MATCH(WDC73,$R$2:$R$11,0))</f>
        <v>0.37</v>
      </c>
      <c r="WDH73" s="49">
        <f t="shared" si="488"/>
        <v>50</v>
      </c>
      <c r="WDI73" s="57">
        <f t="shared" si="489"/>
        <v>18.5</v>
      </c>
      <c r="WDJ73" s="59" t="s">
        <v>44</v>
      </c>
      <c r="WDK73" s="49" t="s">
        <v>44</v>
      </c>
      <c r="WDL73" s="51">
        <v>45117</v>
      </c>
      <c r="WDM73" s="49"/>
      <c r="WDN73" s="49" t="s">
        <v>43</v>
      </c>
      <c r="WDO73" s="49" t="s">
        <v>45</v>
      </c>
      <c r="WDP73" s="49" t="s">
        <v>42</v>
      </c>
      <c r="WDQ73" s="49" t="s">
        <v>0</v>
      </c>
      <c r="WDR73" s="49">
        <v>0</v>
      </c>
      <c r="WDS73" s="49">
        <v>1</v>
      </c>
      <c r="WDT73" s="58">
        <v>2.5</v>
      </c>
      <c r="WDU73" s="58">
        <v>5</v>
      </c>
      <c r="WDV73" s="58">
        <v>4</v>
      </c>
      <c r="WDW73" s="49">
        <f>INDEX($T$2:$T$11,MATCH(WDS73,$R$2:$R$11,0))</f>
        <v>0.37</v>
      </c>
      <c r="WDX73" s="49">
        <f t="shared" si="488"/>
        <v>50</v>
      </c>
      <c r="WDY73" s="57">
        <f t="shared" si="489"/>
        <v>18.5</v>
      </c>
      <c r="WDZ73" s="59" t="s">
        <v>44</v>
      </c>
      <c r="WEA73" s="49" t="s">
        <v>44</v>
      </c>
      <c r="WEB73" s="51">
        <v>45117</v>
      </c>
      <c r="WEC73" s="49"/>
      <c r="WED73" s="49" t="s">
        <v>43</v>
      </c>
      <c r="WEE73" s="49" t="s">
        <v>45</v>
      </c>
      <c r="WEF73" s="49" t="s">
        <v>42</v>
      </c>
      <c r="WEG73" s="49" t="s">
        <v>0</v>
      </c>
      <c r="WEH73" s="49">
        <v>0</v>
      </c>
      <c r="WEI73" s="49">
        <v>1</v>
      </c>
      <c r="WEJ73" s="58">
        <v>2.5</v>
      </c>
      <c r="WEK73" s="58">
        <v>5</v>
      </c>
      <c r="WEL73" s="58">
        <v>4</v>
      </c>
      <c r="WEM73" s="49">
        <f>INDEX($T$2:$T$11,MATCH(WEI73,$R$2:$R$11,0))</f>
        <v>0.37</v>
      </c>
      <c r="WEN73" s="49">
        <f t="shared" ref="WEN73:WGJ73" si="490">WEJ73*WEK73*WEL73</f>
        <v>50</v>
      </c>
      <c r="WEO73" s="57">
        <f t="shared" ref="WEO73:WGK73" si="491">WEM73*WEN73</f>
        <v>18.5</v>
      </c>
      <c r="WEP73" s="59" t="s">
        <v>44</v>
      </c>
      <c r="WEQ73" s="49" t="s">
        <v>44</v>
      </c>
      <c r="WER73" s="51">
        <v>45117</v>
      </c>
      <c r="WES73" s="49"/>
      <c r="WET73" s="49" t="s">
        <v>43</v>
      </c>
      <c r="WEU73" s="49" t="s">
        <v>45</v>
      </c>
      <c r="WEV73" s="49" t="s">
        <v>42</v>
      </c>
      <c r="WEW73" s="49" t="s">
        <v>0</v>
      </c>
      <c r="WEX73" s="49">
        <v>0</v>
      </c>
      <c r="WEY73" s="49">
        <v>1</v>
      </c>
      <c r="WEZ73" s="58">
        <v>2.5</v>
      </c>
      <c r="WFA73" s="58">
        <v>5</v>
      </c>
      <c r="WFB73" s="58">
        <v>4</v>
      </c>
      <c r="WFC73" s="49">
        <f>INDEX($T$2:$T$11,MATCH(WEY73,$R$2:$R$11,0))</f>
        <v>0.37</v>
      </c>
      <c r="WFD73" s="49">
        <f t="shared" si="490"/>
        <v>50</v>
      </c>
      <c r="WFE73" s="57">
        <f t="shared" si="491"/>
        <v>18.5</v>
      </c>
      <c r="WFF73" s="59" t="s">
        <v>44</v>
      </c>
      <c r="WFG73" s="49" t="s">
        <v>44</v>
      </c>
      <c r="WFH73" s="51">
        <v>45117</v>
      </c>
      <c r="WFI73" s="49"/>
      <c r="WFJ73" s="49" t="s">
        <v>43</v>
      </c>
      <c r="WFK73" s="49" t="s">
        <v>45</v>
      </c>
      <c r="WFL73" s="49" t="s">
        <v>42</v>
      </c>
      <c r="WFM73" s="49" t="s">
        <v>0</v>
      </c>
      <c r="WFN73" s="49">
        <v>0</v>
      </c>
      <c r="WFO73" s="49">
        <v>1</v>
      </c>
      <c r="WFP73" s="58">
        <v>2.5</v>
      </c>
      <c r="WFQ73" s="58">
        <v>5</v>
      </c>
      <c r="WFR73" s="58">
        <v>4</v>
      </c>
      <c r="WFS73" s="49">
        <f>INDEX($T$2:$T$11,MATCH(WFO73,$R$2:$R$11,0))</f>
        <v>0.37</v>
      </c>
      <c r="WFT73" s="49">
        <f t="shared" si="490"/>
        <v>50</v>
      </c>
      <c r="WFU73" s="57">
        <f t="shared" si="491"/>
        <v>18.5</v>
      </c>
      <c r="WFV73" s="59" t="s">
        <v>44</v>
      </c>
      <c r="WFW73" s="49" t="s">
        <v>44</v>
      </c>
      <c r="WFX73" s="51">
        <v>45117</v>
      </c>
      <c r="WFY73" s="49"/>
      <c r="WFZ73" s="49" t="s">
        <v>43</v>
      </c>
      <c r="WGA73" s="49" t="s">
        <v>45</v>
      </c>
      <c r="WGB73" s="49" t="s">
        <v>42</v>
      </c>
      <c r="WGC73" s="49" t="s">
        <v>0</v>
      </c>
      <c r="WGD73" s="49">
        <v>0</v>
      </c>
      <c r="WGE73" s="49">
        <v>1</v>
      </c>
      <c r="WGF73" s="58">
        <v>2.5</v>
      </c>
      <c r="WGG73" s="58">
        <v>5</v>
      </c>
      <c r="WGH73" s="58">
        <v>4</v>
      </c>
      <c r="WGI73" s="49">
        <f>INDEX($T$2:$T$11,MATCH(WGE73,$R$2:$R$11,0))</f>
        <v>0.37</v>
      </c>
      <c r="WGJ73" s="49">
        <f t="shared" si="490"/>
        <v>50</v>
      </c>
      <c r="WGK73" s="57">
        <f t="shared" si="491"/>
        <v>18.5</v>
      </c>
      <c r="WGL73" s="59" t="s">
        <v>44</v>
      </c>
      <c r="WGM73" s="49" t="s">
        <v>44</v>
      </c>
      <c r="WGN73" s="51">
        <v>45117</v>
      </c>
      <c r="WGO73" s="49"/>
      <c r="WGP73" s="49" t="s">
        <v>43</v>
      </c>
      <c r="WGQ73" s="49" t="s">
        <v>45</v>
      </c>
      <c r="WGR73" s="49" t="s">
        <v>42</v>
      </c>
      <c r="WGS73" s="49" t="s">
        <v>0</v>
      </c>
      <c r="WGT73" s="49">
        <v>0</v>
      </c>
      <c r="WGU73" s="49">
        <v>1</v>
      </c>
      <c r="WGV73" s="58">
        <v>2.5</v>
      </c>
      <c r="WGW73" s="58">
        <v>5</v>
      </c>
      <c r="WGX73" s="58">
        <v>4</v>
      </c>
      <c r="WGY73" s="49">
        <f>INDEX($T$2:$T$11,MATCH(WGU73,$R$2:$R$11,0))</f>
        <v>0.37</v>
      </c>
      <c r="WGZ73" s="49">
        <f t="shared" ref="WGZ73:WIV73" si="492">WGV73*WGW73*WGX73</f>
        <v>50</v>
      </c>
      <c r="WHA73" s="57">
        <f t="shared" ref="WHA73:WIW73" si="493">WGY73*WGZ73</f>
        <v>18.5</v>
      </c>
      <c r="WHB73" s="59" t="s">
        <v>44</v>
      </c>
      <c r="WHC73" s="49" t="s">
        <v>44</v>
      </c>
      <c r="WHD73" s="51">
        <v>45117</v>
      </c>
      <c r="WHE73" s="49"/>
      <c r="WHF73" s="49" t="s">
        <v>43</v>
      </c>
      <c r="WHG73" s="49" t="s">
        <v>45</v>
      </c>
      <c r="WHH73" s="49" t="s">
        <v>42</v>
      </c>
      <c r="WHI73" s="49" t="s">
        <v>0</v>
      </c>
      <c r="WHJ73" s="49">
        <v>0</v>
      </c>
      <c r="WHK73" s="49">
        <v>1</v>
      </c>
      <c r="WHL73" s="58">
        <v>2.5</v>
      </c>
      <c r="WHM73" s="58">
        <v>5</v>
      </c>
      <c r="WHN73" s="58">
        <v>4</v>
      </c>
      <c r="WHO73" s="49">
        <f>INDEX($T$2:$T$11,MATCH(WHK73,$R$2:$R$11,0))</f>
        <v>0.37</v>
      </c>
      <c r="WHP73" s="49">
        <f t="shared" si="492"/>
        <v>50</v>
      </c>
      <c r="WHQ73" s="57">
        <f t="shared" si="493"/>
        <v>18.5</v>
      </c>
      <c r="WHR73" s="59" t="s">
        <v>44</v>
      </c>
      <c r="WHS73" s="49" t="s">
        <v>44</v>
      </c>
      <c r="WHT73" s="51">
        <v>45117</v>
      </c>
      <c r="WHU73" s="49"/>
      <c r="WHV73" s="49" t="s">
        <v>43</v>
      </c>
      <c r="WHW73" s="49" t="s">
        <v>45</v>
      </c>
      <c r="WHX73" s="49" t="s">
        <v>42</v>
      </c>
      <c r="WHY73" s="49" t="s">
        <v>0</v>
      </c>
      <c r="WHZ73" s="49">
        <v>0</v>
      </c>
      <c r="WIA73" s="49">
        <v>1</v>
      </c>
      <c r="WIB73" s="58">
        <v>2.5</v>
      </c>
      <c r="WIC73" s="58">
        <v>5</v>
      </c>
      <c r="WID73" s="58">
        <v>4</v>
      </c>
      <c r="WIE73" s="49">
        <f>INDEX($T$2:$T$11,MATCH(WIA73,$R$2:$R$11,0))</f>
        <v>0.37</v>
      </c>
      <c r="WIF73" s="49">
        <f t="shared" si="492"/>
        <v>50</v>
      </c>
      <c r="WIG73" s="57">
        <f t="shared" si="493"/>
        <v>18.5</v>
      </c>
      <c r="WIH73" s="59" t="s">
        <v>44</v>
      </c>
      <c r="WII73" s="49" t="s">
        <v>44</v>
      </c>
      <c r="WIJ73" s="51">
        <v>45117</v>
      </c>
      <c r="WIK73" s="49"/>
      <c r="WIL73" s="49" t="s">
        <v>43</v>
      </c>
      <c r="WIM73" s="49" t="s">
        <v>45</v>
      </c>
      <c r="WIN73" s="49" t="s">
        <v>42</v>
      </c>
      <c r="WIO73" s="49" t="s">
        <v>0</v>
      </c>
      <c r="WIP73" s="49">
        <v>0</v>
      </c>
      <c r="WIQ73" s="49">
        <v>1</v>
      </c>
      <c r="WIR73" s="58">
        <v>2.5</v>
      </c>
      <c r="WIS73" s="58">
        <v>5</v>
      </c>
      <c r="WIT73" s="58">
        <v>4</v>
      </c>
      <c r="WIU73" s="49">
        <f>INDEX($T$2:$T$11,MATCH(WIQ73,$R$2:$R$11,0))</f>
        <v>0.37</v>
      </c>
      <c r="WIV73" s="49">
        <f t="shared" si="492"/>
        <v>50</v>
      </c>
      <c r="WIW73" s="57">
        <f t="shared" si="493"/>
        <v>18.5</v>
      </c>
      <c r="WIX73" s="59" t="s">
        <v>44</v>
      </c>
      <c r="WIY73" s="49" t="s">
        <v>44</v>
      </c>
      <c r="WIZ73" s="51">
        <v>45117</v>
      </c>
      <c r="WJA73" s="49"/>
      <c r="WJB73" s="49" t="s">
        <v>43</v>
      </c>
      <c r="WJC73" s="49" t="s">
        <v>45</v>
      </c>
      <c r="WJD73" s="49" t="s">
        <v>42</v>
      </c>
      <c r="WJE73" s="49" t="s">
        <v>0</v>
      </c>
      <c r="WJF73" s="49">
        <v>0</v>
      </c>
      <c r="WJG73" s="49">
        <v>1</v>
      </c>
      <c r="WJH73" s="58">
        <v>2.5</v>
      </c>
      <c r="WJI73" s="58">
        <v>5</v>
      </c>
      <c r="WJJ73" s="58">
        <v>4</v>
      </c>
      <c r="WJK73" s="49">
        <f>INDEX($T$2:$T$11,MATCH(WJG73,$R$2:$R$11,0))</f>
        <v>0.37</v>
      </c>
      <c r="WJL73" s="49">
        <f t="shared" ref="WJL73:WLH73" si="494">WJH73*WJI73*WJJ73</f>
        <v>50</v>
      </c>
      <c r="WJM73" s="57">
        <f t="shared" ref="WJM73:WLI73" si="495">WJK73*WJL73</f>
        <v>18.5</v>
      </c>
      <c r="WJN73" s="59" t="s">
        <v>44</v>
      </c>
      <c r="WJO73" s="49" t="s">
        <v>44</v>
      </c>
      <c r="WJP73" s="51">
        <v>45117</v>
      </c>
      <c r="WJQ73" s="49"/>
      <c r="WJR73" s="49" t="s">
        <v>43</v>
      </c>
      <c r="WJS73" s="49" t="s">
        <v>45</v>
      </c>
      <c r="WJT73" s="49" t="s">
        <v>42</v>
      </c>
      <c r="WJU73" s="49" t="s">
        <v>0</v>
      </c>
      <c r="WJV73" s="49">
        <v>0</v>
      </c>
      <c r="WJW73" s="49">
        <v>1</v>
      </c>
      <c r="WJX73" s="58">
        <v>2.5</v>
      </c>
      <c r="WJY73" s="58">
        <v>5</v>
      </c>
      <c r="WJZ73" s="58">
        <v>4</v>
      </c>
      <c r="WKA73" s="49">
        <f>INDEX($T$2:$T$11,MATCH(WJW73,$R$2:$R$11,0))</f>
        <v>0.37</v>
      </c>
      <c r="WKB73" s="49">
        <f t="shared" si="494"/>
        <v>50</v>
      </c>
      <c r="WKC73" s="57">
        <f t="shared" si="495"/>
        <v>18.5</v>
      </c>
      <c r="WKD73" s="59" t="s">
        <v>44</v>
      </c>
      <c r="WKE73" s="49" t="s">
        <v>44</v>
      </c>
      <c r="WKF73" s="51">
        <v>45117</v>
      </c>
      <c r="WKG73" s="49"/>
      <c r="WKH73" s="49" t="s">
        <v>43</v>
      </c>
      <c r="WKI73" s="49" t="s">
        <v>45</v>
      </c>
      <c r="WKJ73" s="49" t="s">
        <v>42</v>
      </c>
      <c r="WKK73" s="49" t="s">
        <v>0</v>
      </c>
      <c r="WKL73" s="49">
        <v>0</v>
      </c>
      <c r="WKM73" s="49">
        <v>1</v>
      </c>
      <c r="WKN73" s="58">
        <v>2.5</v>
      </c>
      <c r="WKO73" s="58">
        <v>5</v>
      </c>
      <c r="WKP73" s="58">
        <v>4</v>
      </c>
      <c r="WKQ73" s="49">
        <f>INDEX($T$2:$T$11,MATCH(WKM73,$R$2:$R$11,0))</f>
        <v>0.37</v>
      </c>
      <c r="WKR73" s="49">
        <f t="shared" si="494"/>
        <v>50</v>
      </c>
      <c r="WKS73" s="57">
        <f t="shared" si="495"/>
        <v>18.5</v>
      </c>
      <c r="WKT73" s="59" t="s">
        <v>44</v>
      </c>
      <c r="WKU73" s="49" t="s">
        <v>44</v>
      </c>
      <c r="WKV73" s="51">
        <v>45117</v>
      </c>
      <c r="WKW73" s="49"/>
      <c r="WKX73" s="49" t="s">
        <v>43</v>
      </c>
      <c r="WKY73" s="49" t="s">
        <v>45</v>
      </c>
      <c r="WKZ73" s="49" t="s">
        <v>42</v>
      </c>
      <c r="WLA73" s="49" t="s">
        <v>0</v>
      </c>
      <c r="WLB73" s="49">
        <v>0</v>
      </c>
      <c r="WLC73" s="49">
        <v>1</v>
      </c>
      <c r="WLD73" s="58">
        <v>2.5</v>
      </c>
      <c r="WLE73" s="58">
        <v>5</v>
      </c>
      <c r="WLF73" s="58">
        <v>4</v>
      </c>
      <c r="WLG73" s="49">
        <f>INDEX($T$2:$T$11,MATCH(WLC73,$R$2:$R$11,0))</f>
        <v>0.37</v>
      </c>
      <c r="WLH73" s="49">
        <f t="shared" si="494"/>
        <v>50</v>
      </c>
      <c r="WLI73" s="57">
        <f t="shared" si="495"/>
        <v>18.5</v>
      </c>
      <c r="WLJ73" s="59" t="s">
        <v>44</v>
      </c>
      <c r="WLK73" s="49" t="s">
        <v>44</v>
      </c>
      <c r="WLL73" s="51">
        <v>45117</v>
      </c>
      <c r="WLM73" s="49"/>
      <c r="WLN73" s="49" t="s">
        <v>43</v>
      </c>
      <c r="WLO73" s="49" t="s">
        <v>45</v>
      </c>
      <c r="WLP73" s="49" t="s">
        <v>42</v>
      </c>
      <c r="WLQ73" s="49" t="s">
        <v>0</v>
      </c>
      <c r="WLR73" s="49">
        <v>0</v>
      </c>
      <c r="WLS73" s="49">
        <v>1</v>
      </c>
      <c r="WLT73" s="58">
        <v>2.5</v>
      </c>
      <c r="WLU73" s="58">
        <v>5</v>
      </c>
      <c r="WLV73" s="58">
        <v>4</v>
      </c>
      <c r="WLW73" s="49">
        <f>INDEX($T$2:$T$11,MATCH(WLS73,$R$2:$R$11,0))</f>
        <v>0.37</v>
      </c>
      <c r="WLX73" s="49">
        <f t="shared" ref="WLX73:WNT73" si="496">WLT73*WLU73*WLV73</f>
        <v>50</v>
      </c>
      <c r="WLY73" s="57">
        <f t="shared" ref="WLY73:WNU73" si="497">WLW73*WLX73</f>
        <v>18.5</v>
      </c>
      <c r="WLZ73" s="59" t="s">
        <v>44</v>
      </c>
      <c r="WMA73" s="49" t="s">
        <v>44</v>
      </c>
      <c r="WMB73" s="51">
        <v>45117</v>
      </c>
      <c r="WMC73" s="49"/>
      <c r="WMD73" s="49" t="s">
        <v>43</v>
      </c>
      <c r="WME73" s="49" t="s">
        <v>45</v>
      </c>
      <c r="WMF73" s="49" t="s">
        <v>42</v>
      </c>
      <c r="WMG73" s="49" t="s">
        <v>0</v>
      </c>
      <c r="WMH73" s="49">
        <v>0</v>
      </c>
      <c r="WMI73" s="49">
        <v>1</v>
      </c>
      <c r="WMJ73" s="58">
        <v>2.5</v>
      </c>
      <c r="WMK73" s="58">
        <v>5</v>
      </c>
      <c r="WML73" s="58">
        <v>4</v>
      </c>
      <c r="WMM73" s="49">
        <f>INDEX($T$2:$T$11,MATCH(WMI73,$R$2:$R$11,0))</f>
        <v>0.37</v>
      </c>
      <c r="WMN73" s="49">
        <f t="shared" si="496"/>
        <v>50</v>
      </c>
      <c r="WMO73" s="57">
        <f t="shared" si="497"/>
        <v>18.5</v>
      </c>
      <c r="WMP73" s="59" t="s">
        <v>44</v>
      </c>
      <c r="WMQ73" s="49" t="s">
        <v>44</v>
      </c>
      <c r="WMR73" s="51">
        <v>45117</v>
      </c>
      <c r="WMS73" s="49"/>
      <c r="WMT73" s="49" t="s">
        <v>43</v>
      </c>
      <c r="WMU73" s="49" t="s">
        <v>45</v>
      </c>
      <c r="WMV73" s="49" t="s">
        <v>42</v>
      </c>
      <c r="WMW73" s="49" t="s">
        <v>0</v>
      </c>
      <c r="WMX73" s="49">
        <v>0</v>
      </c>
      <c r="WMY73" s="49">
        <v>1</v>
      </c>
      <c r="WMZ73" s="58">
        <v>2.5</v>
      </c>
      <c r="WNA73" s="58">
        <v>5</v>
      </c>
      <c r="WNB73" s="58">
        <v>4</v>
      </c>
      <c r="WNC73" s="49">
        <f>INDEX($T$2:$T$11,MATCH(WMY73,$R$2:$R$11,0))</f>
        <v>0.37</v>
      </c>
      <c r="WND73" s="49">
        <f t="shared" si="496"/>
        <v>50</v>
      </c>
      <c r="WNE73" s="57">
        <f t="shared" si="497"/>
        <v>18.5</v>
      </c>
      <c r="WNF73" s="59" t="s">
        <v>44</v>
      </c>
      <c r="WNG73" s="49" t="s">
        <v>44</v>
      </c>
      <c r="WNH73" s="51">
        <v>45117</v>
      </c>
      <c r="WNI73" s="49"/>
      <c r="WNJ73" s="49" t="s">
        <v>43</v>
      </c>
      <c r="WNK73" s="49" t="s">
        <v>45</v>
      </c>
      <c r="WNL73" s="49" t="s">
        <v>42</v>
      </c>
      <c r="WNM73" s="49" t="s">
        <v>0</v>
      </c>
      <c r="WNN73" s="49">
        <v>0</v>
      </c>
      <c r="WNO73" s="49">
        <v>1</v>
      </c>
      <c r="WNP73" s="58">
        <v>2.5</v>
      </c>
      <c r="WNQ73" s="58">
        <v>5</v>
      </c>
      <c r="WNR73" s="58">
        <v>4</v>
      </c>
      <c r="WNS73" s="49">
        <f>INDEX($T$2:$T$11,MATCH(WNO73,$R$2:$R$11,0))</f>
        <v>0.37</v>
      </c>
      <c r="WNT73" s="49">
        <f t="shared" si="496"/>
        <v>50</v>
      </c>
      <c r="WNU73" s="57">
        <f t="shared" si="497"/>
        <v>18.5</v>
      </c>
      <c r="WNV73" s="59" t="s">
        <v>44</v>
      </c>
      <c r="WNW73" s="49" t="s">
        <v>44</v>
      </c>
      <c r="WNX73" s="51">
        <v>45117</v>
      </c>
      <c r="WNY73" s="49"/>
      <c r="WNZ73" s="49" t="s">
        <v>43</v>
      </c>
      <c r="WOA73" s="49" t="s">
        <v>45</v>
      </c>
      <c r="WOB73" s="49" t="s">
        <v>42</v>
      </c>
      <c r="WOC73" s="49" t="s">
        <v>0</v>
      </c>
      <c r="WOD73" s="49">
        <v>0</v>
      </c>
      <c r="WOE73" s="49">
        <v>1</v>
      </c>
      <c r="WOF73" s="58">
        <v>2.5</v>
      </c>
      <c r="WOG73" s="58">
        <v>5</v>
      </c>
      <c r="WOH73" s="58">
        <v>4</v>
      </c>
      <c r="WOI73" s="49">
        <f>INDEX($T$2:$T$11,MATCH(WOE73,$R$2:$R$11,0))</f>
        <v>0.37</v>
      </c>
      <c r="WOJ73" s="49">
        <f t="shared" ref="WOJ73:WQF73" si="498">WOF73*WOG73*WOH73</f>
        <v>50</v>
      </c>
      <c r="WOK73" s="57">
        <f t="shared" ref="WOK73:WQG73" si="499">WOI73*WOJ73</f>
        <v>18.5</v>
      </c>
      <c r="WOL73" s="59" t="s">
        <v>44</v>
      </c>
      <c r="WOM73" s="49" t="s">
        <v>44</v>
      </c>
      <c r="WON73" s="51">
        <v>45117</v>
      </c>
      <c r="WOO73" s="49"/>
      <c r="WOP73" s="49" t="s">
        <v>43</v>
      </c>
      <c r="WOQ73" s="49" t="s">
        <v>45</v>
      </c>
      <c r="WOR73" s="49" t="s">
        <v>42</v>
      </c>
      <c r="WOS73" s="49" t="s">
        <v>0</v>
      </c>
      <c r="WOT73" s="49">
        <v>0</v>
      </c>
      <c r="WOU73" s="49">
        <v>1</v>
      </c>
      <c r="WOV73" s="58">
        <v>2.5</v>
      </c>
      <c r="WOW73" s="58">
        <v>5</v>
      </c>
      <c r="WOX73" s="58">
        <v>4</v>
      </c>
      <c r="WOY73" s="49">
        <f>INDEX($T$2:$T$11,MATCH(WOU73,$R$2:$R$11,0))</f>
        <v>0.37</v>
      </c>
      <c r="WOZ73" s="49">
        <f t="shared" si="498"/>
        <v>50</v>
      </c>
      <c r="WPA73" s="57">
        <f t="shared" si="499"/>
        <v>18.5</v>
      </c>
      <c r="WPB73" s="59" t="s">
        <v>44</v>
      </c>
      <c r="WPC73" s="49" t="s">
        <v>44</v>
      </c>
      <c r="WPD73" s="51">
        <v>45117</v>
      </c>
      <c r="WPE73" s="49"/>
      <c r="WPF73" s="49" t="s">
        <v>43</v>
      </c>
      <c r="WPG73" s="49" t="s">
        <v>45</v>
      </c>
      <c r="WPH73" s="49" t="s">
        <v>42</v>
      </c>
      <c r="WPI73" s="49" t="s">
        <v>0</v>
      </c>
      <c r="WPJ73" s="49">
        <v>0</v>
      </c>
      <c r="WPK73" s="49">
        <v>1</v>
      </c>
      <c r="WPL73" s="58">
        <v>2.5</v>
      </c>
      <c r="WPM73" s="58">
        <v>5</v>
      </c>
      <c r="WPN73" s="58">
        <v>4</v>
      </c>
      <c r="WPO73" s="49">
        <f>INDEX($T$2:$T$11,MATCH(WPK73,$R$2:$R$11,0))</f>
        <v>0.37</v>
      </c>
      <c r="WPP73" s="49">
        <f t="shared" si="498"/>
        <v>50</v>
      </c>
      <c r="WPQ73" s="57">
        <f t="shared" si="499"/>
        <v>18.5</v>
      </c>
      <c r="WPR73" s="59" t="s">
        <v>44</v>
      </c>
      <c r="WPS73" s="49" t="s">
        <v>44</v>
      </c>
      <c r="WPT73" s="51">
        <v>45117</v>
      </c>
      <c r="WPU73" s="49"/>
      <c r="WPV73" s="49" t="s">
        <v>43</v>
      </c>
      <c r="WPW73" s="49" t="s">
        <v>45</v>
      </c>
      <c r="WPX73" s="49" t="s">
        <v>42</v>
      </c>
      <c r="WPY73" s="49" t="s">
        <v>0</v>
      </c>
      <c r="WPZ73" s="49">
        <v>0</v>
      </c>
      <c r="WQA73" s="49">
        <v>1</v>
      </c>
      <c r="WQB73" s="58">
        <v>2.5</v>
      </c>
      <c r="WQC73" s="58">
        <v>5</v>
      </c>
      <c r="WQD73" s="58">
        <v>4</v>
      </c>
      <c r="WQE73" s="49">
        <f>INDEX($T$2:$T$11,MATCH(WQA73,$R$2:$R$11,0))</f>
        <v>0.37</v>
      </c>
      <c r="WQF73" s="49">
        <f t="shared" si="498"/>
        <v>50</v>
      </c>
      <c r="WQG73" s="57">
        <f t="shared" si="499"/>
        <v>18.5</v>
      </c>
      <c r="WQH73" s="59" t="s">
        <v>44</v>
      </c>
      <c r="WQI73" s="49" t="s">
        <v>44</v>
      </c>
      <c r="WQJ73" s="51">
        <v>45117</v>
      </c>
      <c r="WQK73" s="49"/>
      <c r="WQL73" s="49" t="s">
        <v>43</v>
      </c>
      <c r="WQM73" s="49" t="s">
        <v>45</v>
      </c>
      <c r="WQN73" s="49" t="s">
        <v>42</v>
      </c>
      <c r="WQO73" s="49" t="s">
        <v>0</v>
      </c>
      <c r="WQP73" s="49">
        <v>0</v>
      </c>
      <c r="WQQ73" s="49">
        <v>1</v>
      </c>
      <c r="WQR73" s="58">
        <v>2.5</v>
      </c>
      <c r="WQS73" s="58">
        <v>5</v>
      </c>
      <c r="WQT73" s="58">
        <v>4</v>
      </c>
      <c r="WQU73" s="49">
        <f>INDEX($T$2:$T$11,MATCH(WQQ73,$R$2:$R$11,0))</f>
        <v>0.37</v>
      </c>
      <c r="WQV73" s="49">
        <f t="shared" ref="WQV73:WSR73" si="500">WQR73*WQS73*WQT73</f>
        <v>50</v>
      </c>
      <c r="WQW73" s="57">
        <f t="shared" ref="WQW73:WSS73" si="501">WQU73*WQV73</f>
        <v>18.5</v>
      </c>
      <c r="WQX73" s="59" t="s">
        <v>44</v>
      </c>
      <c r="WQY73" s="49" t="s">
        <v>44</v>
      </c>
      <c r="WQZ73" s="51">
        <v>45117</v>
      </c>
      <c r="WRA73" s="49"/>
      <c r="WRB73" s="49" t="s">
        <v>43</v>
      </c>
      <c r="WRC73" s="49" t="s">
        <v>45</v>
      </c>
      <c r="WRD73" s="49" t="s">
        <v>42</v>
      </c>
      <c r="WRE73" s="49" t="s">
        <v>0</v>
      </c>
      <c r="WRF73" s="49">
        <v>0</v>
      </c>
      <c r="WRG73" s="49">
        <v>1</v>
      </c>
      <c r="WRH73" s="58">
        <v>2.5</v>
      </c>
      <c r="WRI73" s="58">
        <v>5</v>
      </c>
      <c r="WRJ73" s="58">
        <v>4</v>
      </c>
      <c r="WRK73" s="49">
        <f>INDEX($T$2:$T$11,MATCH(WRG73,$R$2:$R$11,0))</f>
        <v>0.37</v>
      </c>
      <c r="WRL73" s="49">
        <f t="shared" si="500"/>
        <v>50</v>
      </c>
      <c r="WRM73" s="57">
        <f t="shared" si="501"/>
        <v>18.5</v>
      </c>
      <c r="WRN73" s="59" t="s">
        <v>44</v>
      </c>
      <c r="WRO73" s="49" t="s">
        <v>44</v>
      </c>
      <c r="WRP73" s="51">
        <v>45117</v>
      </c>
      <c r="WRQ73" s="49"/>
      <c r="WRR73" s="49" t="s">
        <v>43</v>
      </c>
      <c r="WRS73" s="49" t="s">
        <v>45</v>
      </c>
      <c r="WRT73" s="49" t="s">
        <v>42</v>
      </c>
      <c r="WRU73" s="49" t="s">
        <v>0</v>
      </c>
      <c r="WRV73" s="49">
        <v>0</v>
      </c>
      <c r="WRW73" s="49">
        <v>1</v>
      </c>
      <c r="WRX73" s="58">
        <v>2.5</v>
      </c>
      <c r="WRY73" s="58">
        <v>5</v>
      </c>
      <c r="WRZ73" s="58">
        <v>4</v>
      </c>
      <c r="WSA73" s="49">
        <f>INDEX($T$2:$T$11,MATCH(WRW73,$R$2:$R$11,0))</f>
        <v>0.37</v>
      </c>
      <c r="WSB73" s="49">
        <f t="shared" si="500"/>
        <v>50</v>
      </c>
      <c r="WSC73" s="57">
        <f t="shared" si="501"/>
        <v>18.5</v>
      </c>
      <c r="WSD73" s="59" t="s">
        <v>44</v>
      </c>
      <c r="WSE73" s="49" t="s">
        <v>44</v>
      </c>
      <c r="WSF73" s="51">
        <v>45117</v>
      </c>
      <c r="WSG73" s="49"/>
      <c r="WSH73" s="49" t="s">
        <v>43</v>
      </c>
      <c r="WSI73" s="49" t="s">
        <v>45</v>
      </c>
      <c r="WSJ73" s="49" t="s">
        <v>42</v>
      </c>
      <c r="WSK73" s="49" t="s">
        <v>0</v>
      </c>
      <c r="WSL73" s="49">
        <v>0</v>
      </c>
      <c r="WSM73" s="49">
        <v>1</v>
      </c>
      <c r="WSN73" s="58">
        <v>2.5</v>
      </c>
      <c r="WSO73" s="58">
        <v>5</v>
      </c>
      <c r="WSP73" s="58">
        <v>4</v>
      </c>
      <c r="WSQ73" s="49">
        <f>INDEX($T$2:$T$11,MATCH(WSM73,$R$2:$R$11,0))</f>
        <v>0.37</v>
      </c>
      <c r="WSR73" s="49">
        <f t="shared" si="500"/>
        <v>50</v>
      </c>
      <c r="WSS73" s="57">
        <f t="shared" si="501"/>
        <v>18.5</v>
      </c>
      <c r="WST73" s="59" t="s">
        <v>44</v>
      </c>
      <c r="WSU73" s="49" t="s">
        <v>44</v>
      </c>
      <c r="WSV73" s="51">
        <v>45117</v>
      </c>
      <c r="WSW73" s="49"/>
      <c r="WSX73" s="49" t="s">
        <v>43</v>
      </c>
      <c r="WSY73" s="49" t="s">
        <v>45</v>
      </c>
      <c r="WSZ73" s="49" t="s">
        <v>42</v>
      </c>
      <c r="WTA73" s="49" t="s">
        <v>0</v>
      </c>
      <c r="WTB73" s="49">
        <v>0</v>
      </c>
      <c r="WTC73" s="49">
        <v>1</v>
      </c>
      <c r="WTD73" s="58">
        <v>2.5</v>
      </c>
      <c r="WTE73" s="58">
        <v>5</v>
      </c>
      <c r="WTF73" s="58">
        <v>4</v>
      </c>
      <c r="WTG73" s="49">
        <f>INDEX($T$2:$T$11,MATCH(WTC73,$R$2:$R$11,0))</f>
        <v>0.37</v>
      </c>
      <c r="WTH73" s="49">
        <f t="shared" ref="WTH73:WVD73" si="502">WTD73*WTE73*WTF73</f>
        <v>50</v>
      </c>
      <c r="WTI73" s="57">
        <f t="shared" ref="WTI73:WVE73" si="503">WTG73*WTH73</f>
        <v>18.5</v>
      </c>
      <c r="WTJ73" s="59" t="s">
        <v>44</v>
      </c>
      <c r="WTK73" s="49" t="s">
        <v>44</v>
      </c>
      <c r="WTL73" s="51">
        <v>45117</v>
      </c>
      <c r="WTM73" s="49"/>
      <c r="WTN73" s="49" t="s">
        <v>43</v>
      </c>
      <c r="WTO73" s="49" t="s">
        <v>45</v>
      </c>
      <c r="WTP73" s="49" t="s">
        <v>42</v>
      </c>
      <c r="WTQ73" s="49" t="s">
        <v>0</v>
      </c>
      <c r="WTR73" s="49">
        <v>0</v>
      </c>
      <c r="WTS73" s="49">
        <v>1</v>
      </c>
      <c r="WTT73" s="58">
        <v>2.5</v>
      </c>
      <c r="WTU73" s="58">
        <v>5</v>
      </c>
      <c r="WTV73" s="58">
        <v>4</v>
      </c>
      <c r="WTW73" s="49">
        <f>INDEX($T$2:$T$11,MATCH(WTS73,$R$2:$R$11,0))</f>
        <v>0.37</v>
      </c>
      <c r="WTX73" s="49">
        <f t="shared" si="502"/>
        <v>50</v>
      </c>
      <c r="WTY73" s="57">
        <f t="shared" si="503"/>
        <v>18.5</v>
      </c>
      <c r="WTZ73" s="59" t="s">
        <v>44</v>
      </c>
      <c r="WUA73" s="49" t="s">
        <v>44</v>
      </c>
      <c r="WUB73" s="51">
        <v>45117</v>
      </c>
      <c r="WUC73" s="49"/>
      <c r="WUD73" s="49" t="s">
        <v>43</v>
      </c>
      <c r="WUE73" s="49" t="s">
        <v>45</v>
      </c>
      <c r="WUF73" s="49" t="s">
        <v>42</v>
      </c>
      <c r="WUG73" s="49" t="s">
        <v>0</v>
      </c>
      <c r="WUH73" s="49">
        <v>0</v>
      </c>
      <c r="WUI73" s="49">
        <v>1</v>
      </c>
      <c r="WUJ73" s="58">
        <v>2.5</v>
      </c>
      <c r="WUK73" s="58">
        <v>5</v>
      </c>
      <c r="WUL73" s="58">
        <v>4</v>
      </c>
      <c r="WUM73" s="49">
        <f>INDEX($T$2:$T$11,MATCH(WUI73,$R$2:$R$11,0))</f>
        <v>0.37</v>
      </c>
      <c r="WUN73" s="49">
        <f t="shared" si="502"/>
        <v>50</v>
      </c>
      <c r="WUO73" s="57">
        <f t="shared" si="503"/>
        <v>18.5</v>
      </c>
      <c r="WUP73" s="59" t="s">
        <v>44</v>
      </c>
      <c r="WUQ73" s="49" t="s">
        <v>44</v>
      </c>
      <c r="WUR73" s="51">
        <v>45117</v>
      </c>
      <c r="WUS73" s="49"/>
      <c r="WUT73" s="49" t="s">
        <v>43</v>
      </c>
      <c r="WUU73" s="49" t="s">
        <v>45</v>
      </c>
      <c r="WUV73" s="49" t="s">
        <v>42</v>
      </c>
      <c r="WUW73" s="49" t="s">
        <v>0</v>
      </c>
      <c r="WUX73" s="49">
        <v>0</v>
      </c>
      <c r="WUY73" s="49">
        <v>1</v>
      </c>
      <c r="WUZ73" s="58">
        <v>2.5</v>
      </c>
      <c r="WVA73" s="58">
        <v>5</v>
      </c>
      <c r="WVB73" s="58">
        <v>4</v>
      </c>
      <c r="WVC73" s="49">
        <f>INDEX($T$2:$T$11,MATCH(WUY73,$R$2:$R$11,0))</f>
        <v>0.37</v>
      </c>
      <c r="WVD73" s="49">
        <f t="shared" si="502"/>
        <v>50</v>
      </c>
      <c r="WVE73" s="57">
        <f t="shared" si="503"/>
        <v>18.5</v>
      </c>
      <c r="WVF73" s="59" t="s">
        <v>44</v>
      </c>
      <c r="WVG73" s="49" t="s">
        <v>44</v>
      </c>
      <c r="WVH73" s="51">
        <v>45117</v>
      </c>
      <c r="WVI73" s="49"/>
      <c r="WVJ73" s="49" t="s">
        <v>43</v>
      </c>
      <c r="WVK73" s="49" t="s">
        <v>45</v>
      </c>
      <c r="WVL73" s="49" t="s">
        <v>42</v>
      </c>
      <c r="WVM73" s="49" t="s">
        <v>0</v>
      </c>
      <c r="WVN73" s="49">
        <v>0</v>
      </c>
      <c r="WVO73" s="49">
        <v>1</v>
      </c>
      <c r="WVP73" s="58">
        <v>2.5</v>
      </c>
      <c r="WVQ73" s="58">
        <v>5</v>
      </c>
      <c r="WVR73" s="58">
        <v>4</v>
      </c>
      <c r="WVS73" s="49">
        <f>INDEX($T$2:$T$11,MATCH(WVO73,$R$2:$R$11,0))</f>
        <v>0.37</v>
      </c>
      <c r="WVT73" s="49">
        <f t="shared" ref="WVT73:WXP73" si="504">WVP73*WVQ73*WVR73</f>
        <v>50</v>
      </c>
      <c r="WVU73" s="57">
        <f t="shared" ref="WVU73:WXQ73" si="505">WVS73*WVT73</f>
        <v>18.5</v>
      </c>
      <c r="WVV73" s="59" t="s">
        <v>44</v>
      </c>
      <c r="WVW73" s="49" t="s">
        <v>44</v>
      </c>
      <c r="WVX73" s="51">
        <v>45117</v>
      </c>
      <c r="WVY73" s="49"/>
      <c r="WVZ73" s="49" t="s">
        <v>43</v>
      </c>
      <c r="WWA73" s="49" t="s">
        <v>45</v>
      </c>
      <c r="WWB73" s="49" t="s">
        <v>42</v>
      </c>
      <c r="WWC73" s="49" t="s">
        <v>0</v>
      </c>
      <c r="WWD73" s="49">
        <v>0</v>
      </c>
      <c r="WWE73" s="49">
        <v>1</v>
      </c>
      <c r="WWF73" s="58">
        <v>2.5</v>
      </c>
      <c r="WWG73" s="58">
        <v>5</v>
      </c>
      <c r="WWH73" s="58">
        <v>4</v>
      </c>
      <c r="WWI73" s="49">
        <f>INDEX($T$2:$T$11,MATCH(WWE73,$R$2:$R$11,0))</f>
        <v>0.37</v>
      </c>
      <c r="WWJ73" s="49">
        <f t="shared" si="504"/>
        <v>50</v>
      </c>
      <c r="WWK73" s="57">
        <f t="shared" si="505"/>
        <v>18.5</v>
      </c>
      <c r="WWL73" s="59" t="s">
        <v>44</v>
      </c>
      <c r="WWM73" s="49" t="s">
        <v>44</v>
      </c>
      <c r="WWN73" s="51">
        <v>45117</v>
      </c>
      <c r="WWO73" s="49"/>
      <c r="WWP73" s="49" t="s">
        <v>43</v>
      </c>
      <c r="WWQ73" s="49" t="s">
        <v>45</v>
      </c>
      <c r="WWR73" s="49" t="s">
        <v>42</v>
      </c>
      <c r="WWS73" s="49" t="s">
        <v>0</v>
      </c>
      <c r="WWT73" s="49">
        <v>0</v>
      </c>
      <c r="WWU73" s="49">
        <v>1</v>
      </c>
      <c r="WWV73" s="58">
        <v>2.5</v>
      </c>
      <c r="WWW73" s="58">
        <v>5</v>
      </c>
      <c r="WWX73" s="58">
        <v>4</v>
      </c>
      <c r="WWY73" s="49">
        <f>INDEX($T$2:$T$11,MATCH(WWU73,$R$2:$R$11,0))</f>
        <v>0.37</v>
      </c>
      <c r="WWZ73" s="49">
        <f t="shared" si="504"/>
        <v>50</v>
      </c>
      <c r="WXA73" s="57">
        <f t="shared" si="505"/>
        <v>18.5</v>
      </c>
      <c r="WXB73" s="59" t="s">
        <v>44</v>
      </c>
      <c r="WXC73" s="49" t="s">
        <v>44</v>
      </c>
      <c r="WXD73" s="51">
        <v>45117</v>
      </c>
      <c r="WXE73" s="49"/>
      <c r="WXF73" s="49" t="s">
        <v>43</v>
      </c>
      <c r="WXG73" s="49" t="s">
        <v>45</v>
      </c>
      <c r="WXH73" s="49" t="s">
        <v>42</v>
      </c>
      <c r="WXI73" s="49" t="s">
        <v>0</v>
      </c>
      <c r="WXJ73" s="49">
        <v>0</v>
      </c>
      <c r="WXK73" s="49">
        <v>1</v>
      </c>
      <c r="WXL73" s="58">
        <v>2.5</v>
      </c>
      <c r="WXM73" s="58">
        <v>5</v>
      </c>
      <c r="WXN73" s="58">
        <v>4</v>
      </c>
      <c r="WXO73" s="49">
        <f>INDEX($T$2:$T$11,MATCH(WXK73,$R$2:$R$11,0))</f>
        <v>0.37</v>
      </c>
      <c r="WXP73" s="49">
        <f t="shared" si="504"/>
        <v>50</v>
      </c>
      <c r="WXQ73" s="57">
        <f t="shared" si="505"/>
        <v>18.5</v>
      </c>
      <c r="WXR73" s="59" t="s">
        <v>44</v>
      </c>
      <c r="WXS73" s="49" t="s">
        <v>44</v>
      </c>
      <c r="WXT73" s="51">
        <v>45117</v>
      </c>
      <c r="WXU73" s="49"/>
      <c r="WXV73" s="49" t="s">
        <v>43</v>
      </c>
      <c r="WXW73" s="49" t="s">
        <v>45</v>
      </c>
      <c r="WXX73" s="49" t="s">
        <v>42</v>
      </c>
      <c r="WXY73" s="49" t="s">
        <v>0</v>
      </c>
      <c r="WXZ73" s="49">
        <v>0</v>
      </c>
      <c r="WYA73" s="49">
        <v>1</v>
      </c>
      <c r="WYB73" s="58">
        <v>2.5</v>
      </c>
      <c r="WYC73" s="58">
        <v>5</v>
      </c>
      <c r="WYD73" s="58">
        <v>4</v>
      </c>
      <c r="WYE73" s="49">
        <f>INDEX($T$2:$T$11,MATCH(WYA73,$R$2:$R$11,0))</f>
        <v>0.37</v>
      </c>
      <c r="WYF73" s="49">
        <f t="shared" ref="WYF73:XAB73" si="506">WYB73*WYC73*WYD73</f>
        <v>50</v>
      </c>
      <c r="WYG73" s="57">
        <f t="shared" ref="WYG73:XAC73" si="507">WYE73*WYF73</f>
        <v>18.5</v>
      </c>
      <c r="WYH73" s="59" t="s">
        <v>44</v>
      </c>
      <c r="WYI73" s="49" t="s">
        <v>44</v>
      </c>
      <c r="WYJ73" s="51">
        <v>45117</v>
      </c>
      <c r="WYK73" s="49"/>
      <c r="WYL73" s="49" t="s">
        <v>43</v>
      </c>
      <c r="WYM73" s="49" t="s">
        <v>45</v>
      </c>
      <c r="WYN73" s="49" t="s">
        <v>42</v>
      </c>
      <c r="WYO73" s="49" t="s">
        <v>0</v>
      </c>
      <c r="WYP73" s="49">
        <v>0</v>
      </c>
      <c r="WYQ73" s="49">
        <v>1</v>
      </c>
      <c r="WYR73" s="58">
        <v>2.5</v>
      </c>
      <c r="WYS73" s="58">
        <v>5</v>
      </c>
      <c r="WYT73" s="58">
        <v>4</v>
      </c>
      <c r="WYU73" s="49">
        <f>INDEX($T$2:$T$11,MATCH(WYQ73,$R$2:$R$11,0))</f>
        <v>0.37</v>
      </c>
      <c r="WYV73" s="49">
        <f t="shared" si="506"/>
        <v>50</v>
      </c>
      <c r="WYW73" s="57">
        <f t="shared" si="507"/>
        <v>18.5</v>
      </c>
      <c r="WYX73" s="59" t="s">
        <v>44</v>
      </c>
      <c r="WYY73" s="49" t="s">
        <v>44</v>
      </c>
      <c r="WYZ73" s="51">
        <v>45117</v>
      </c>
      <c r="WZA73" s="49"/>
      <c r="WZB73" s="49" t="s">
        <v>43</v>
      </c>
      <c r="WZC73" s="49" t="s">
        <v>45</v>
      </c>
      <c r="WZD73" s="49" t="s">
        <v>42</v>
      </c>
      <c r="WZE73" s="49" t="s">
        <v>0</v>
      </c>
      <c r="WZF73" s="49">
        <v>0</v>
      </c>
      <c r="WZG73" s="49">
        <v>1</v>
      </c>
      <c r="WZH73" s="58">
        <v>2.5</v>
      </c>
      <c r="WZI73" s="58">
        <v>5</v>
      </c>
      <c r="WZJ73" s="58">
        <v>4</v>
      </c>
      <c r="WZK73" s="49">
        <f>INDEX($T$2:$T$11,MATCH(WZG73,$R$2:$R$11,0))</f>
        <v>0.37</v>
      </c>
      <c r="WZL73" s="49">
        <f t="shared" si="506"/>
        <v>50</v>
      </c>
      <c r="WZM73" s="57">
        <f t="shared" si="507"/>
        <v>18.5</v>
      </c>
      <c r="WZN73" s="59" t="s">
        <v>44</v>
      </c>
      <c r="WZO73" s="49" t="s">
        <v>44</v>
      </c>
      <c r="WZP73" s="51">
        <v>45117</v>
      </c>
      <c r="WZQ73" s="49"/>
      <c r="WZR73" s="49" t="s">
        <v>43</v>
      </c>
      <c r="WZS73" s="49" t="s">
        <v>45</v>
      </c>
      <c r="WZT73" s="49" t="s">
        <v>42</v>
      </c>
      <c r="WZU73" s="49" t="s">
        <v>0</v>
      </c>
      <c r="WZV73" s="49">
        <v>0</v>
      </c>
      <c r="WZW73" s="49">
        <v>1</v>
      </c>
      <c r="WZX73" s="58">
        <v>2.5</v>
      </c>
      <c r="WZY73" s="58">
        <v>5</v>
      </c>
      <c r="WZZ73" s="58">
        <v>4</v>
      </c>
      <c r="XAA73" s="49">
        <f>INDEX($T$2:$T$11,MATCH(WZW73,$R$2:$R$11,0))</f>
        <v>0.37</v>
      </c>
      <c r="XAB73" s="49">
        <f t="shared" si="506"/>
        <v>50</v>
      </c>
      <c r="XAC73" s="57">
        <f t="shared" si="507"/>
        <v>18.5</v>
      </c>
      <c r="XAD73" s="59" t="s">
        <v>44</v>
      </c>
      <c r="XAE73" s="49" t="s">
        <v>44</v>
      </c>
      <c r="XAF73" s="51">
        <v>45117</v>
      </c>
      <c r="XAG73" s="49"/>
      <c r="XAH73" s="49" t="s">
        <v>43</v>
      </c>
      <c r="XAI73" s="49" t="s">
        <v>45</v>
      </c>
      <c r="XAJ73" s="49" t="s">
        <v>42</v>
      </c>
      <c r="XAK73" s="49" t="s">
        <v>0</v>
      </c>
      <c r="XAL73" s="49">
        <v>0</v>
      </c>
      <c r="XAM73" s="49">
        <v>1</v>
      </c>
      <c r="XAN73" s="58">
        <v>2.5</v>
      </c>
      <c r="XAO73" s="58">
        <v>5</v>
      </c>
      <c r="XAP73" s="58">
        <v>4</v>
      </c>
      <c r="XAQ73" s="49">
        <f>INDEX($T$2:$T$11,MATCH(XAM73,$R$2:$R$11,0))</f>
        <v>0.37</v>
      </c>
      <c r="XAR73" s="49">
        <f t="shared" ref="XAR73:XCN73" si="508">XAN73*XAO73*XAP73</f>
        <v>50</v>
      </c>
      <c r="XAS73" s="57">
        <f t="shared" ref="XAS73:XCO73" si="509">XAQ73*XAR73</f>
        <v>18.5</v>
      </c>
      <c r="XAT73" s="59" t="s">
        <v>44</v>
      </c>
      <c r="XAU73" s="49" t="s">
        <v>44</v>
      </c>
      <c r="XAV73" s="51">
        <v>45117</v>
      </c>
      <c r="XAW73" s="49"/>
      <c r="XAX73" s="49" t="s">
        <v>43</v>
      </c>
      <c r="XAY73" s="49" t="s">
        <v>45</v>
      </c>
      <c r="XAZ73" s="49" t="s">
        <v>42</v>
      </c>
      <c r="XBA73" s="49" t="s">
        <v>0</v>
      </c>
      <c r="XBB73" s="49">
        <v>0</v>
      </c>
      <c r="XBC73" s="49">
        <v>1</v>
      </c>
      <c r="XBD73" s="58">
        <v>2.5</v>
      </c>
      <c r="XBE73" s="58">
        <v>5</v>
      </c>
      <c r="XBF73" s="58">
        <v>4</v>
      </c>
      <c r="XBG73" s="49">
        <f>INDEX($T$2:$T$11,MATCH(XBC73,$R$2:$R$11,0))</f>
        <v>0.37</v>
      </c>
      <c r="XBH73" s="49">
        <f t="shared" si="508"/>
        <v>50</v>
      </c>
      <c r="XBI73" s="57">
        <f t="shared" si="509"/>
        <v>18.5</v>
      </c>
      <c r="XBJ73" s="59" t="s">
        <v>44</v>
      </c>
      <c r="XBK73" s="49" t="s">
        <v>44</v>
      </c>
      <c r="XBL73" s="51">
        <v>45117</v>
      </c>
      <c r="XBM73" s="49"/>
      <c r="XBN73" s="49" t="s">
        <v>43</v>
      </c>
      <c r="XBO73" s="49" t="s">
        <v>45</v>
      </c>
      <c r="XBP73" s="49" t="s">
        <v>42</v>
      </c>
      <c r="XBQ73" s="49" t="s">
        <v>0</v>
      </c>
      <c r="XBR73" s="49">
        <v>0</v>
      </c>
      <c r="XBS73" s="49">
        <v>1</v>
      </c>
      <c r="XBT73" s="58">
        <v>2.5</v>
      </c>
      <c r="XBU73" s="58">
        <v>5</v>
      </c>
      <c r="XBV73" s="58">
        <v>4</v>
      </c>
      <c r="XBW73" s="49">
        <f>INDEX($T$2:$T$11,MATCH(XBS73,$R$2:$R$11,0))</f>
        <v>0.37</v>
      </c>
      <c r="XBX73" s="49">
        <f t="shared" si="508"/>
        <v>50</v>
      </c>
      <c r="XBY73" s="57">
        <f t="shared" si="509"/>
        <v>18.5</v>
      </c>
      <c r="XBZ73" s="59" t="s">
        <v>44</v>
      </c>
      <c r="XCA73" s="49" t="s">
        <v>44</v>
      </c>
      <c r="XCB73" s="51">
        <v>45117</v>
      </c>
      <c r="XCC73" s="49"/>
      <c r="XCD73" s="49" t="s">
        <v>43</v>
      </c>
      <c r="XCE73" s="49" t="s">
        <v>45</v>
      </c>
      <c r="XCF73" s="49" t="s">
        <v>42</v>
      </c>
      <c r="XCG73" s="49" t="s">
        <v>0</v>
      </c>
      <c r="XCH73" s="49">
        <v>0</v>
      </c>
      <c r="XCI73" s="49">
        <v>1</v>
      </c>
      <c r="XCJ73" s="58">
        <v>2.5</v>
      </c>
      <c r="XCK73" s="58">
        <v>5</v>
      </c>
      <c r="XCL73" s="58">
        <v>4</v>
      </c>
      <c r="XCM73" s="49">
        <f>INDEX($T$2:$T$11,MATCH(XCI73,$R$2:$R$11,0))</f>
        <v>0.37</v>
      </c>
      <c r="XCN73" s="49">
        <f t="shared" si="508"/>
        <v>50</v>
      </c>
      <c r="XCO73" s="57">
        <f t="shared" si="509"/>
        <v>18.5</v>
      </c>
      <c r="XCP73" s="59" t="s">
        <v>44</v>
      </c>
      <c r="XCQ73" s="49" t="s">
        <v>44</v>
      </c>
      <c r="XCR73" s="51">
        <v>45117</v>
      </c>
      <c r="XCS73" s="49"/>
      <c r="XCT73" s="49" t="s">
        <v>43</v>
      </c>
      <c r="XCU73" s="49" t="s">
        <v>45</v>
      </c>
      <c r="XCV73" s="49" t="s">
        <v>42</v>
      </c>
      <c r="XCW73" s="49" t="s">
        <v>0</v>
      </c>
      <c r="XCX73" s="49">
        <v>0</v>
      </c>
      <c r="XCY73" s="49">
        <v>1</v>
      </c>
      <c r="XCZ73" s="58">
        <v>2.5</v>
      </c>
      <c r="XDA73" s="58">
        <v>5</v>
      </c>
      <c r="XDB73" s="58">
        <v>4</v>
      </c>
      <c r="XDC73" s="49">
        <f>INDEX($T$2:$T$11,MATCH(XCY73,$R$2:$R$11,0))</f>
        <v>0.37</v>
      </c>
      <c r="XDD73" s="49">
        <f t="shared" ref="XDD73:XEZ73" si="510">XCZ73*XDA73*XDB73</f>
        <v>50</v>
      </c>
      <c r="XDE73" s="57">
        <f t="shared" ref="XDE73:XFA73" si="511">XDC73*XDD73</f>
        <v>18.5</v>
      </c>
      <c r="XDF73" s="59" t="s">
        <v>44</v>
      </c>
      <c r="XDG73" s="49" t="s">
        <v>44</v>
      </c>
      <c r="XDH73" s="51">
        <v>45117</v>
      </c>
      <c r="XDI73" s="49"/>
      <c r="XDJ73" s="49" t="s">
        <v>43</v>
      </c>
      <c r="XDK73" s="49" t="s">
        <v>45</v>
      </c>
      <c r="XDL73" s="49" t="s">
        <v>42</v>
      </c>
      <c r="XDM73" s="49" t="s">
        <v>0</v>
      </c>
      <c r="XDN73" s="49">
        <v>0</v>
      </c>
      <c r="XDO73" s="49">
        <v>1</v>
      </c>
      <c r="XDP73" s="58">
        <v>2.5</v>
      </c>
      <c r="XDQ73" s="58">
        <v>5</v>
      </c>
      <c r="XDR73" s="58">
        <v>4</v>
      </c>
      <c r="XDS73" s="49">
        <f>INDEX($T$2:$T$11,MATCH(XDO73,$R$2:$R$11,0))</f>
        <v>0.37</v>
      </c>
      <c r="XDT73" s="49">
        <f t="shared" si="510"/>
        <v>50</v>
      </c>
      <c r="XDU73" s="57">
        <f t="shared" si="511"/>
        <v>18.5</v>
      </c>
      <c r="XDV73" s="59" t="s">
        <v>44</v>
      </c>
      <c r="XDW73" s="49" t="s">
        <v>44</v>
      </c>
      <c r="XDX73" s="51">
        <v>45117</v>
      </c>
      <c r="XDY73" s="49"/>
      <c r="XDZ73" s="49" t="s">
        <v>43</v>
      </c>
      <c r="XEA73" s="49" t="s">
        <v>45</v>
      </c>
      <c r="XEB73" s="49" t="s">
        <v>42</v>
      </c>
      <c r="XEC73" s="49" t="s">
        <v>0</v>
      </c>
      <c r="XED73" s="49">
        <v>0</v>
      </c>
      <c r="XEE73" s="49">
        <v>1</v>
      </c>
      <c r="XEF73" s="58">
        <v>2.5</v>
      </c>
      <c r="XEG73" s="58">
        <v>5</v>
      </c>
      <c r="XEH73" s="58">
        <v>4</v>
      </c>
      <c r="XEI73" s="49">
        <f>INDEX($T$2:$T$11,MATCH(XEE73,$R$2:$R$11,0))</f>
        <v>0.37</v>
      </c>
      <c r="XEJ73" s="49">
        <f t="shared" si="510"/>
        <v>50</v>
      </c>
      <c r="XEK73" s="57">
        <f t="shared" si="511"/>
        <v>18.5</v>
      </c>
      <c r="XEL73" s="59" t="s">
        <v>44</v>
      </c>
      <c r="XEM73" s="49" t="s">
        <v>44</v>
      </c>
      <c r="XEN73" s="51">
        <v>45117</v>
      </c>
      <c r="XEO73" s="49"/>
      <c r="XEP73" s="49" t="s">
        <v>43</v>
      </c>
      <c r="XEQ73" s="49" t="s">
        <v>45</v>
      </c>
      <c r="XER73" s="49" t="s">
        <v>42</v>
      </c>
      <c r="XES73" s="49" t="s">
        <v>0</v>
      </c>
      <c r="XET73" s="49">
        <v>0</v>
      </c>
      <c r="XEU73" s="49">
        <v>1</v>
      </c>
      <c r="XEV73" s="58">
        <v>2.5</v>
      </c>
      <c r="XEW73" s="58">
        <v>5</v>
      </c>
      <c r="XEX73" s="58">
        <v>4</v>
      </c>
      <c r="XEY73" s="49">
        <f>INDEX($T$2:$T$11,MATCH(XEU73,$R$2:$R$11,0))</f>
        <v>0.37</v>
      </c>
      <c r="XEZ73" s="49">
        <f t="shared" si="510"/>
        <v>50</v>
      </c>
      <c r="XFA73" s="57">
        <f t="shared" si="511"/>
        <v>18.5</v>
      </c>
      <c r="XFB73" s="59" t="s">
        <v>44</v>
      </c>
    </row>
    <row r="74" spans="1:16382" x14ac:dyDescent="0.2">
      <c r="A74" s="71" t="s">
        <v>174</v>
      </c>
      <c r="B74" s="28">
        <v>45896</v>
      </c>
      <c r="C74" s="28"/>
      <c r="D74" s="73">
        <v>52</v>
      </c>
      <c r="E74" s="73">
        <v>4</v>
      </c>
      <c r="F74" s="19" t="s">
        <v>70</v>
      </c>
      <c r="G74" s="19" t="s">
        <v>81</v>
      </c>
      <c r="H74" s="21">
        <v>0</v>
      </c>
      <c r="I74" s="21">
        <v>1</v>
      </c>
      <c r="J74" s="23">
        <v>5</v>
      </c>
      <c r="K74" s="19">
        <v>6.5</v>
      </c>
      <c r="L74" s="23">
        <v>4</v>
      </c>
      <c r="M74" s="69">
        <f t="shared" si="6"/>
        <v>0.37</v>
      </c>
      <c r="N74" s="22">
        <f t="shared" si="10"/>
        <v>130</v>
      </c>
      <c r="O74" s="40">
        <f t="shared" si="11"/>
        <v>192.4</v>
      </c>
      <c r="P74" s="70" t="s">
        <v>360</v>
      </c>
    </row>
    <row r="75" spans="1:16382" x14ac:dyDescent="0.2">
      <c r="A75" s="71" t="s">
        <v>175</v>
      </c>
      <c r="B75" s="28">
        <v>45896</v>
      </c>
      <c r="C75" s="28"/>
      <c r="D75" s="73">
        <v>52</v>
      </c>
      <c r="E75" s="73">
        <v>4</v>
      </c>
      <c r="F75" s="19" t="s">
        <v>70</v>
      </c>
      <c r="G75" s="19" t="s">
        <v>176</v>
      </c>
      <c r="H75" s="21">
        <v>32</v>
      </c>
      <c r="I75" s="21">
        <v>4</v>
      </c>
      <c r="J75" s="23">
        <v>2.5</v>
      </c>
      <c r="K75" s="19">
        <v>4</v>
      </c>
      <c r="L75" s="23">
        <v>4</v>
      </c>
      <c r="M75" s="69">
        <f t="shared" si="6"/>
        <v>0.37</v>
      </c>
      <c r="N75" s="22">
        <f t="shared" si="10"/>
        <v>40</v>
      </c>
      <c r="O75" s="40">
        <f t="shared" si="11"/>
        <v>59.2</v>
      </c>
      <c r="P75" s="74"/>
    </row>
    <row r="76" spans="1:16382" x14ac:dyDescent="0.2">
      <c r="A76" s="19" t="s">
        <v>177</v>
      </c>
      <c r="B76" s="28">
        <v>45896</v>
      </c>
      <c r="C76" s="28"/>
      <c r="D76" s="73">
        <v>52</v>
      </c>
      <c r="E76" s="73">
        <v>4</v>
      </c>
      <c r="F76" s="19" t="s">
        <v>70</v>
      </c>
      <c r="G76" s="19" t="s">
        <v>166</v>
      </c>
      <c r="H76" s="19">
        <v>6</v>
      </c>
      <c r="I76" s="19">
        <v>1</v>
      </c>
      <c r="J76" s="19">
        <v>2.5</v>
      </c>
      <c r="K76" s="19">
        <v>2.5</v>
      </c>
      <c r="L76" s="19">
        <v>4</v>
      </c>
      <c r="M76" s="69">
        <f t="shared" si="6"/>
        <v>0.37</v>
      </c>
      <c r="N76" s="22">
        <f t="shared" ref="N76:N98" si="512">J76*K76*L76</f>
        <v>25</v>
      </c>
      <c r="O76" s="40">
        <f t="shared" ref="O76:O133" si="513">N76*M76*E76</f>
        <v>37</v>
      </c>
      <c r="P76" s="86" t="s">
        <v>170</v>
      </c>
    </row>
    <row r="77" spans="1:16382" x14ac:dyDescent="0.2">
      <c r="A77" s="19" t="s">
        <v>178</v>
      </c>
      <c r="B77" s="28">
        <v>45896</v>
      </c>
      <c r="C77" s="28"/>
      <c r="D77" s="73">
        <v>52</v>
      </c>
      <c r="E77" s="73">
        <v>4</v>
      </c>
      <c r="F77" s="19" t="s">
        <v>70</v>
      </c>
      <c r="G77" s="19" t="s">
        <v>127</v>
      </c>
      <c r="H77" s="19">
        <v>34</v>
      </c>
      <c r="I77" s="19">
        <v>4</v>
      </c>
      <c r="J77" s="19">
        <v>2</v>
      </c>
      <c r="K77" s="19">
        <v>3</v>
      </c>
      <c r="L77" s="19">
        <v>5</v>
      </c>
      <c r="M77" s="69">
        <f t="shared" si="6"/>
        <v>0.37</v>
      </c>
      <c r="N77" s="22">
        <f t="shared" si="512"/>
        <v>30</v>
      </c>
      <c r="O77" s="40">
        <f t="shared" si="513"/>
        <v>44.4</v>
      </c>
      <c r="P77" s="86" t="s">
        <v>173</v>
      </c>
    </row>
    <row r="78" spans="1:16382" x14ac:dyDescent="0.2">
      <c r="A78" s="19" t="s">
        <v>179</v>
      </c>
      <c r="B78" s="28">
        <v>45903</v>
      </c>
      <c r="C78" s="28"/>
      <c r="D78" s="73">
        <v>52</v>
      </c>
      <c r="E78" s="73">
        <v>4</v>
      </c>
      <c r="F78" s="19" t="s">
        <v>70</v>
      </c>
      <c r="G78" s="19" t="s">
        <v>81</v>
      </c>
      <c r="H78" s="19">
        <v>0</v>
      </c>
      <c r="I78" s="19">
        <v>1</v>
      </c>
      <c r="J78" s="19">
        <v>1.5</v>
      </c>
      <c r="K78" s="19">
        <v>3</v>
      </c>
      <c r="L78" s="19">
        <v>3</v>
      </c>
      <c r="M78" s="69">
        <f t="shared" si="6"/>
        <v>0.37</v>
      </c>
      <c r="N78" s="22">
        <f t="shared" si="512"/>
        <v>13.5</v>
      </c>
      <c r="O78" s="40">
        <f t="shared" si="513"/>
        <v>19.98</v>
      </c>
      <c r="P78" s="86" t="s">
        <v>180</v>
      </c>
    </row>
    <row r="79" spans="1:16382" x14ac:dyDescent="0.2">
      <c r="A79" s="71" t="s">
        <v>181</v>
      </c>
      <c r="B79" s="28">
        <v>45903</v>
      </c>
      <c r="C79" s="28"/>
      <c r="D79" s="73">
        <v>52</v>
      </c>
      <c r="E79" s="73">
        <v>4</v>
      </c>
      <c r="F79" s="19" t="s">
        <v>70</v>
      </c>
      <c r="G79" s="19"/>
      <c r="H79" s="19">
        <v>32</v>
      </c>
      <c r="I79" s="19">
        <v>4</v>
      </c>
      <c r="J79" s="19">
        <v>2.5</v>
      </c>
      <c r="K79" s="19">
        <v>5</v>
      </c>
      <c r="L79" s="19">
        <v>4</v>
      </c>
      <c r="M79" s="69">
        <f t="shared" si="6"/>
        <v>0.37</v>
      </c>
      <c r="N79" s="22">
        <f t="shared" si="512"/>
        <v>50</v>
      </c>
      <c r="O79" s="40">
        <f t="shared" si="513"/>
        <v>74</v>
      </c>
      <c r="P79" s="198" t="s">
        <v>182</v>
      </c>
    </row>
    <row r="80" spans="1:16382" x14ac:dyDescent="0.2">
      <c r="A80" s="19" t="s">
        <v>183</v>
      </c>
      <c r="B80" s="28">
        <v>45903</v>
      </c>
      <c r="C80" s="28"/>
      <c r="D80" s="73">
        <v>52</v>
      </c>
      <c r="E80" s="73">
        <v>4</v>
      </c>
      <c r="F80" s="19"/>
      <c r="G80" s="19"/>
      <c r="H80" s="19">
        <v>32</v>
      </c>
      <c r="I80" s="19">
        <v>4</v>
      </c>
      <c r="J80" s="19">
        <v>1.5</v>
      </c>
      <c r="K80" s="19">
        <v>2</v>
      </c>
      <c r="L80" s="19">
        <v>4</v>
      </c>
      <c r="M80" s="69">
        <f t="shared" ref="M80:M143" si="514">INDEX($T$2:$T$13,MATCH(I80,$R$2:$R$13,0))</f>
        <v>0.37</v>
      </c>
      <c r="N80" s="22">
        <f t="shared" si="512"/>
        <v>12</v>
      </c>
      <c r="O80" s="40">
        <f t="shared" si="513"/>
        <v>17.759999999999998</v>
      </c>
      <c r="P80" s="202"/>
    </row>
    <row r="81" spans="1:16" x14ac:dyDescent="0.2">
      <c r="A81" s="19" t="s">
        <v>184</v>
      </c>
      <c r="B81" s="28">
        <v>45904</v>
      </c>
      <c r="C81" s="28"/>
      <c r="D81" s="73">
        <v>52</v>
      </c>
      <c r="E81" s="73">
        <v>4</v>
      </c>
      <c r="F81" s="19" t="s">
        <v>70</v>
      </c>
      <c r="G81" s="19" t="s">
        <v>185</v>
      </c>
      <c r="H81" s="19">
        <v>0</v>
      </c>
      <c r="I81" s="19">
        <v>1</v>
      </c>
      <c r="J81" s="19">
        <v>2</v>
      </c>
      <c r="K81" s="19">
        <v>3</v>
      </c>
      <c r="L81" s="19">
        <v>4</v>
      </c>
      <c r="M81" s="69">
        <f t="shared" si="514"/>
        <v>0.37</v>
      </c>
      <c r="N81" s="22">
        <f t="shared" si="512"/>
        <v>24</v>
      </c>
      <c r="O81" s="40">
        <f t="shared" si="513"/>
        <v>35.519999999999996</v>
      </c>
      <c r="P81" s="19"/>
    </row>
    <row r="82" spans="1:16" x14ac:dyDescent="0.2">
      <c r="A82" s="19" t="s">
        <v>186</v>
      </c>
      <c r="B82" s="28">
        <v>45905</v>
      </c>
      <c r="C82" s="28"/>
      <c r="D82" s="73">
        <v>52</v>
      </c>
      <c r="E82" s="73">
        <v>4</v>
      </c>
      <c r="F82" s="19" t="s">
        <v>70</v>
      </c>
      <c r="G82" s="19"/>
      <c r="H82" s="19">
        <v>32</v>
      </c>
      <c r="I82" s="19">
        <v>4</v>
      </c>
      <c r="J82" s="19">
        <v>1.5</v>
      </c>
      <c r="K82" s="19">
        <v>13</v>
      </c>
      <c r="L82" s="19">
        <v>2</v>
      </c>
      <c r="M82" s="69">
        <f t="shared" si="514"/>
        <v>0.37</v>
      </c>
      <c r="N82" s="22">
        <f t="shared" si="512"/>
        <v>39</v>
      </c>
      <c r="O82" s="40">
        <f t="shared" si="513"/>
        <v>57.72</v>
      </c>
      <c r="P82" s="33"/>
    </row>
    <row r="83" spans="1:16" x14ac:dyDescent="0.2">
      <c r="A83" s="71" t="s">
        <v>187</v>
      </c>
      <c r="B83" s="28">
        <v>45906</v>
      </c>
      <c r="C83" s="28"/>
      <c r="D83" s="73">
        <v>52</v>
      </c>
      <c r="E83" s="73">
        <v>4</v>
      </c>
      <c r="F83" s="19" t="s">
        <v>70</v>
      </c>
      <c r="G83" s="19" t="s">
        <v>81</v>
      </c>
      <c r="H83" s="19">
        <v>32</v>
      </c>
      <c r="I83" s="19">
        <v>12</v>
      </c>
      <c r="J83" s="19">
        <v>0.75</v>
      </c>
      <c r="K83" s="19">
        <v>2.5</v>
      </c>
      <c r="L83" s="19">
        <v>6</v>
      </c>
      <c r="M83" s="69">
        <f t="shared" si="514"/>
        <v>0.8</v>
      </c>
      <c r="N83" s="22">
        <f t="shared" si="512"/>
        <v>11.25</v>
      </c>
      <c r="O83" s="40">
        <f t="shared" si="513"/>
        <v>36</v>
      </c>
      <c r="P83" s="198" t="s">
        <v>188</v>
      </c>
    </row>
    <row r="84" spans="1:16" x14ac:dyDescent="0.2">
      <c r="A84" s="19" t="s">
        <v>189</v>
      </c>
      <c r="B84" s="28">
        <v>45906</v>
      </c>
      <c r="C84" s="28"/>
      <c r="D84" s="73">
        <v>52</v>
      </c>
      <c r="E84" s="73">
        <v>4</v>
      </c>
      <c r="F84" s="19"/>
      <c r="G84" s="19"/>
      <c r="H84" s="19">
        <v>32</v>
      </c>
      <c r="I84" s="19">
        <v>4</v>
      </c>
      <c r="J84" s="19">
        <v>0.25</v>
      </c>
      <c r="K84" s="19">
        <v>2.5</v>
      </c>
      <c r="L84" s="19">
        <v>6</v>
      </c>
      <c r="M84" s="69">
        <f t="shared" si="514"/>
        <v>0.37</v>
      </c>
      <c r="N84" s="22">
        <f t="shared" si="512"/>
        <v>3.75</v>
      </c>
      <c r="O84" s="40">
        <f t="shared" si="513"/>
        <v>5.55</v>
      </c>
      <c r="P84" s="204"/>
    </row>
    <row r="85" spans="1:16" x14ac:dyDescent="0.2">
      <c r="A85" s="19" t="s">
        <v>190</v>
      </c>
      <c r="B85" s="28">
        <v>45906</v>
      </c>
      <c r="C85" s="28"/>
      <c r="D85" s="73">
        <v>52</v>
      </c>
      <c r="E85" s="73">
        <v>4</v>
      </c>
      <c r="F85" s="19"/>
      <c r="G85" s="19"/>
      <c r="H85" s="19">
        <v>32</v>
      </c>
      <c r="I85" s="19">
        <v>4</v>
      </c>
      <c r="J85" s="19">
        <v>2.5</v>
      </c>
      <c r="K85" s="19">
        <v>3</v>
      </c>
      <c r="L85" s="19">
        <v>6</v>
      </c>
      <c r="M85" s="69">
        <f t="shared" si="514"/>
        <v>0.37</v>
      </c>
      <c r="N85" s="22">
        <f t="shared" si="512"/>
        <v>45</v>
      </c>
      <c r="O85" s="40">
        <f t="shared" si="513"/>
        <v>66.599999999999994</v>
      </c>
      <c r="P85" s="202"/>
    </row>
    <row r="86" spans="1:16" x14ac:dyDescent="0.2">
      <c r="A86" s="19" t="s">
        <v>192</v>
      </c>
      <c r="B86" s="28">
        <v>45906</v>
      </c>
      <c r="C86" s="28"/>
      <c r="D86" s="73">
        <v>52</v>
      </c>
      <c r="E86" s="73">
        <v>4</v>
      </c>
      <c r="F86" s="19"/>
      <c r="G86" s="19"/>
      <c r="H86" s="19">
        <v>32</v>
      </c>
      <c r="I86" s="19">
        <v>4</v>
      </c>
      <c r="J86" s="19">
        <v>1.5</v>
      </c>
      <c r="K86" s="19">
        <v>16</v>
      </c>
      <c r="L86" s="19">
        <v>4</v>
      </c>
      <c r="M86" s="69">
        <f t="shared" si="514"/>
        <v>0.37</v>
      </c>
      <c r="N86" s="22">
        <f t="shared" si="512"/>
        <v>96</v>
      </c>
      <c r="O86" s="40">
        <f t="shared" si="513"/>
        <v>142.07999999999998</v>
      </c>
      <c r="P86" s="198" t="s">
        <v>193</v>
      </c>
    </row>
    <row r="87" spans="1:16" x14ac:dyDescent="0.2">
      <c r="A87" s="19" t="s">
        <v>194</v>
      </c>
      <c r="B87" s="28">
        <v>45906</v>
      </c>
      <c r="C87" s="28"/>
      <c r="D87" s="73">
        <v>52</v>
      </c>
      <c r="E87" s="73">
        <v>4</v>
      </c>
      <c r="F87" s="19"/>
      <c r="G87" s="19"/>
      <c r="H87" s="19">
        <v>32</v>
      </c>
      <c r="I87" s="19">
        <v>10</v>
      </c>
      <c r="J87" s="19">
        <v>1</v>
      </c>
      <c r="K87" s="19">
        <v>13.5</v>
      </c>
      <c r="L87" s="19">
        <v>1</v>
      </c>
      <c r="M87" s="69">
        <f t="shared" si="514"/>
        <v>0.37</v>
      </c>
      <c r="N87" s="22">
        <f t="shared" si="512"/>
        <v>13.5</v>
      </c>
      <c r="O87" s="40">
        <f t="shared" si="513"/>
        <v>19.98</v>
      </c>
      <c r="P87" s="202"/>
    </row>
    <row r="88" spans="1:16" x14ac:dyDescent="0.2">
      <c r="A88" s="71" t="s">
        <v>195</v>
      </c>
      <c r="B88" s="28">
        <v>45909</v>
      </c>
      <c r="C88" s="28"/>
      <c r="D88" s="73">
        <v>52</v>
      </c>
      <c r="E88" s="73">
        <v>4</v>
      </c>
      <c r="F88" s="19" t="s">
        <v>70</v>
      </c>
      <c r="G88" s="21" t="s">
        <v>127</v>
      </c>
      <c r="H88" s="19">
        <v>0</v>
      </c>
      <c r="I88" s="19">
        <v>12</v>
      </c>
      <c r="J88" s="19">
        <v>0.75</v>
      </c>
      <c r="K88" s="19">
        <v>3</v>
      </c>
      <c r="L88" s="19">
        <v>22</v>
      </c>
      <c r="M88" s="69">
        <f t="shared" si="514"/>
        <v>0.8</v>
      </c>
      <c r="N88" s="22">
        <f t="shared" si="512"/>
        <v>49.5</v>
      </c>
      <c r="O88" s="40">
        <f t="shared" si="513"/>
        <v>158.4</v>
      </c>
      <c r="P88" s="198" t="s">
        <v>375</v>
      </c>
    </row>
    <row r="89" spans="1:16" x14ac:dyDescent="0.2">
      <c r="A89" s="19" t="s">
        <v>196</v>
      </c>
      <c r="B89" s="28">
        <v>45909</v>
      </c>
      <c r="C89" s="28"/>
      <c r="D89" s="73">
        <v>52</v>
      </c>
      <c r="E89" s="73">
        <v>4</v>
      </c>
      <c r="F89" s="8"/>
      <c r="G89" s="8"/>
      <c r="H89" s="19">
        <v>0</v>
      </c>
      <c r="I89" s="19">
        <v>1</v>
      </c>
      <c r="J89" s="19">
        <f>2.5-J88</f>
        <v>1.75</v>
      </c>
      <c r="K89" s="19">
        <v>3</v>
      </c>
      <c r="L89" s="19">
        <v>22</v>
      </c>
      <c r="M89" s="69">
        <f t="shared" si="514"/>
        <v>0.37</v>
      </c>
      <c r="N89" s="22">
        <f t="shared" si="512"/>
        <v>115.5</v>
      </c>
      <c r="O89" s="40">
        <f t="shared" si="513"/>
        <v>170.94</v>
      </c>
      <c r="P89" s="204"/>
    </row>
    <row r="90" spans="1:16" x14ac:dyDescent="0.2">
      <c r="A90" s="19" t="s">
        <v>197</v>
      </c>
      <c r="B90" s="28">
        <v>45909</v>
      </c>
      <c r="C90" s="28"/>
      <c r="D90" s="73">
        <v>52</v>
      </c>
      <c r="E90" s="73">
        <v>4</v>
      </c>
      <c r="F90" s="19"/>
      <c r="G90" s="19"/>
      <c r="H90" s="19">
        <v>0</v>
      </c>
      <c r="I90" s="19">
        <v>7</v>
      </c>
      <c r="J90" s="19">
        <v>1</v>
      </c>
      <c r="K90" s="19">
        <v>2</v>
      </c>
      <c r="L90" s="19">
        <v>2</v>
      </c>
      <c r="M90" s="69">
        <f t="shared" si="514"/>
        <v>0.37</v>
      </c>
      <c r="N90" s="22">
        <f t="shared" si="512"/>
        <v>4</v>
      </c>
      <c r="O90" s="40">
        <f t="shared" si="513"/>
        <v>5.92</v>
      </c>
      <c r="P90" s="204"/>
    </row>
    <row r="91" spans="1:16" ht="15.5" customHeight="1" x14ac:dyDescent="0.2">
      <c r="A91" s="19" t="s">
        <v>198</v>
      </c>
      <c r="B91" s="28">
        <v>45909</v>
      </c>
      <c r="C91" s="28"/>
      <c r="D91" s="73">
        <v>52</v>
      </c>
      <c r="E91" s="73">
        <v>4</v>
      </c>
      <c r="F91" s="19"/>
      <c r="G91" s="19"/>
      <c r="H91" s="19">
        <v>0</v>
      </c>
      <c r="I91" s="19">
        <v>7</v>
      </c>
      <c r="J91" s="19">
        <v>1</v>
      </c>
      <c r="K91" s="19">
        <v>2</v>
      </c>
      <c r="L91" s="19">
        <v>2</v>
      </c>
      <c r="M91" s="69">
        <f t="shared" si="514"/>
        <v>0.37</v>
      </c>
      <c r="N91" s="22">
        <f t="shared" si="512"/>
        <v>4</v>
      </c>
      <c r="O91" s="40">
        <f t="shared" si="513"/>
        <v>5.92</v>
      </c>
      <c r="P91" s="202"/>
    </row>
    <row r="92" spans="1:16" x14ac:dyDescent="0.2">
      <c r="A92" s="19" t="s">
        <v>199</v>
      </c>
      <c r="B92" s="28">
        <v>45910</v>
      </c>
      <c r="C92" s="28"/>
      <c r="D92" s="73">
        <v>52</v>
      </c>
      <c r="E92" s="73">
        <v>4</v>
      </c>
      <c r="F92" s="19" t="s">
        <v>70</v>
      </c>
      <c r="G92" s="21" t="s">
        <v>127</v>
      </c>
      <c r="H92" s="19">
        <v>20</v>
      </c>
      <c r="I92" s="19">
        <v>9</v>
      </c>
      <c r="J92" s="19">
        <v>1</v>
      </c>
      <c r="K92" s="19">
        <v>2</v>
      </c>
      <c r="L92" s="19">
        <v>2</v>
      </c>
      <c r="M92" s="69">
        <f t="shared" si="514"/>
        <v>0.37</v>
      </c>
      <c r="N92" s="22">
        <f t="shared" si="512"/>
        <v>4</v>
      </c>
      <c r="O92" s="40">
        <f t="shared" si="513"/>
        <v>5.92</v>
      </c>
      <c r="P92" s="84" t="s">
        <v>200</v>
      </c>
    </row>
    <row r="93" spans="1:16" x14ac:dyDescent="0.2">
      <c r="A93" s="19" t="s">
        <v>202</v>
      </c>
      <c r="B93" s="28">
        <v>45912</v>
      </c>
      <c r="C93" s="28"/>
      <c r="D93" s="73">
        <v>52</v>
      </c>
      <c r="E93" s="73">
        <v>4</v>
      </c>
      <c r="F93" s="19" t="s">
        <v>70</v>
      </c>
      <c r="G93" s="21" t="s">
        <v>127</v>
      </c>
      <c r="H93" s="19">
        <v>12</v>
      </c>
      <c r="I93" s="19">
        <v>8</v>
      </c>
      <c r="J93" s="19">
        <v>1</v>
      </c>
      <c r="K93" s="19">
        <v>2</v>
      </c>
      <c r="L93" s="19">
        <v>4</v>
      </c>
      <c r="M93" s="69">
        <f t="shared" si="514"/>
        <v>0.37</v>
      </c>
      <c r="N93" s="22">
        <f t="shared" si="512"/>
        <v>8</v>
      </c>
      <c r="O93" s="40">
        <f t="shared" si="513"/>
        <v>11.84</v>
      </c>
      <c r="P93" s="87" t="s">
        <v>200</v>
      </c>
    </row>
    <row r="94" spans="1:16" x14ac:dyDescent="0.2">
      <c r="A94" s="71" t="s">
        <v>203</v>
      </c>
      <c r="B94" s="28">
        <v>45912</v>
      </c>
      <c r="C94" s="28"/>
      <c r="D94" s="73">
        <v>52</v>
      </c>
      <c r="E94" s="73">
        <v>4</v>
      </c>
      <c r="F94" s="19" t="s">
        <v>70</v>
      </c>
      <c r="G94" s="19" t="s">
        <v>204</v>
      </c>
      <c r="H94" s="19">
        <v>4</v>
      </c>
      <c r="I94" s="19">
        <v>12</v>
      </c>
      <c r="J94" s="19">
        <v>0.75</v>
      </c>
      <c r="K94" s="19">
        <v>3</v>
      </c>
      <c r="L94" s="19">
        <v>8</v>
      </c>
      <c r="M94" s="69">
        <f t="shared" si="514"/>
        <v>0.8</v>
      </c>
      <c r="N94" s="22">
        <f t="shared" si="512"/>
        <v>18</v>
      </c>
      <c r="O94" s="40">
        <f t="shared" si="513"/>
        <v>57.6</v>
      </c>
      <c r="P94" s="212" t="s">
        <v>205</v>
      </c>
    </row>
    <row r="95" spans="1:16" x14ac:dyDescent="0.2">
      <c r="A95" s="19" t="s">
        <v>206</v>
      </c>
      <c r="B95" s="28">
        <v>45912</v>
      </c>
      <c r="C95" s="28"/>
      <c r="D95" s="73">
        <v>52</v>
      </c>
      <c r="E95" s="73">
        <v>4</v>
      </c>
      <c r="F95" s="19"/>
      <c r="G95" s="19"/>
      <c r="H95" s="19">
        <v>4</v>
      </c>
      <c r="I95" s="19">
        <v>1</v>
      </c>
      <c r="J95" s="19">
        <f>1-J94</f>
        <v>0.25</v>
      </c>
      <c r="K95" s="19">
        <v>3</v>
      </c>
      <c r="L95" s="19">
        <v>8</v>
      </c>
      <c r="M95" s="69">
        <f t="shared" si="514"/>
        <v>0.37</v>
      </c>
      <c r="N95" s="22">
        <f t="shared" si="512"/>
        <v>6</v>
      </c>
      <c r="O95" s="40">
        <f t="shared" si="513"/>
        <v>8.879999999999999</v>
      </c>
      <c r="P95" s="188"/>
    </row>
    <row r="96" spans="1:16" x14ac:dyDescent="0.2">
      <c r="A96" s="19" t="s">
        <v>207</v>
      </c>
      <c r="B96" s="28">
        <v>45912</v>
      </c>
      <c r="C96" s="28"/>
      <c r="D96" s="73">
        <v>52</v>
      </c>
      <c r="E96" s="73">
        <v>4</v>
      </c>
      <c r="F96" s="19"/>
      <c r="G96" s="19"/>
      <c r="H96" s="19">
        <v>4</v>
      </c>
      <c r="I96" s="19">
        <v>1</v>
      </c>
      <c r="J96" s="19">
        <v>3</v>
      </c>
      <c r="K96" s="19">
        <v>3</v>
      </c>
      <c r="L96" s="19">
        <v>8</v>
      </c>
      <c r="M96" s="69">
        <f t="shared" si="514"/>
        <v>0.37</v>
      </c>
      <c r="N96" s="22">
        <f t="shared" si="512"/>
        <v>72</v>
      </c>
      <c r="O96" s="40">
        <f t="shared" si="513"/>
        <v>106.56</v>
      </c>
      <c r="P96" s="213"/>
    </row>
    <row r="97" spans="1:16" x14ac:dyDescent="0.2">
      <c r="A97" s="71" t="s">
        <v>208</v>
      </c>
      <c r="B97" s="28">
        <v>45915</v>
      </c>
      <c r="C97" s="28"/>
      <c r="D97" s="73">
        <v>52</v>
      </c>
      <c r="E97" s="73">
        <v>4</v>
      </c>
      <c r="F97" s="21"/>
      <c r="G97" s="21"/>
      <c r="H97" s="19">
        <v>35</v>
      </c>
      <c r="I97" s="19">
        <v>4</v>
      </c>
      <c r="J97" s="19">
        <v>2</v>
      </c>
      <c r="K97" s="19">
        <v>3</v>
      </c>
      <c r="L97" s="19">
        <v>6</v>
      </c>
      <c r="M97" s="69">
        <f t="shared" si="514"/>
        <v>0.37</v>
      </c>
      <c r="N97" s="22">
        <f t="shared" si="512"/>
        <v>36</v>
      </c>
      <c r="O97" s="40">
        <f t="shared" si="513"/>
        <v>53.28</v>
      </c>
      <c r="P97" s="33"/>
    </row>
    <row r="98" spans="1:16" x14ac:dyDescent="0.2">
      <c r="A98" s="19" t="s">
        <v>209</v>
      </c>
      <c r="B98" s="28">
        <v>45915</v>
      </c>
      <c r="C98" s="28"/>
      <c r="D98" s="73">
        <v>52</v>
      </c>
      <c r="E98" s="73">
        <v>4</v>
      </c>
      <c r="F98" s="8"/>
      <c r="G98" s="8"/>
      <c r="H98" s="19">
        <v>35</v>
      </c>
      <c r="I98" s="19">
        <v>10</v>
      </c>
      <c r="J98" s="19">
        <v>1</v>
      </c>
      <c r="K98" s="19">
        <v>2</v>
      </c>
      <c r="L98" s="19">
        <v>2</v>
      </c>
      <c r="M98" s="69">
        <f t="shared" si="514"/>
        <v>0.37</v>
      </c>
      <c r="N98" s="22">
        <f t="shared" si="512"/>
        <v>4</v>
      </c>
      <c r="O98" s="40">
        <f t="shared" si="513"/>
        <v>5.92</v>
      </c>
      <c r="P98" s="25"/>
    </row>
    <row r="99" spans="1:16" x14ac:dyDescent="0.2">
      <c r="A99" s="19" t="s">
        <v>210</v>
      </c>
      <c r="B99" s="28">
        <v>45916</v>
      </c>
      <c r="C99" s="28"/>
      <c r="D99" s="73">
        <v>52</v>
      </c>
      <c r="E99" s="73">
        <v>4</v>
      </c>
      <c r="F99" s="19" t="s">
        <v>70</v>
      </c>
      <c r="G99" s="19" t="s">
        <v>166</v>
      </c>
      <c r="H99" s="19">
        <v>0</v>
      </c>
      <c r="I99" s="19">
        <v>1</v>
      </c>
      <c r="J99" s="19">
        <v>2.5</v>
      </c>
      <c r="K99" s="19">
        <v>2.5</v>
      </c>
      <c r="L99" s="19">
        <v>4</v>
      </c>
      <c r="M99" s="69">
        <f t="shared" si="514"/>
        <v>0.37</v>
      </c>
      <c r="N99" s="22">
        <f>IF((J99*K99*L99)&lt;=25,25,(J99*K99*L99))</f>
        <v>25</v>
      </c>
      <c r="O99" s="40">
        <f t="shared" si="513"/>
        <v>37</v>
      </c>
      <c r="P99" s="70" t="s">
        <v>170</v>
      </c>
    </row>
    <row r="100" spans="1:16" x14ac:dyDescent="0.2">
      <c r="A100" s="19" t="s">
        <v>211</v>
      </c>
      <c r="B100" s="28">
        <v>45917</v>
      </c>
      <c r="C100" s="28"/>
      <c r="D100" s="73">
        <v>52</v>
      </c>
      <c r="E100" s="73">
        <v>4</v>
      </c>
      <c r="F100" s="19" t="s">
        <v>70</v>
      </c>
      <c r="G100" s="19" t="s">
        <v>204</v>
      </c>
      <c r="H100" s="19">
        <v>4</v>
      </c>
      <c r="I100" s="19">
        <v>12</v>
      </c>
      <c r="J100" s="19">
        <v>0.75</v>
      </c>
      <c r="K100" s="19">
        <v>3</v>
      </c>
      <c r="L100" s="19">
        <v>14</v>
      </c>
      <c r="M100" s="69">
        <f t="shared" si="514"/>
        <v>0.8</v>
      </c>
      <c r="N100" s="22">
        <f t="shared" ref="N100:N159" si="515">J100*K100*L100</f>
        <v>31.5</v>
      </c>
      <c r="O100" s="40">
        <f t="shared" si="513"/>
        <v>100.80000000000001</v>
      </c>
      <c r="P100" s="198" t="s">
        <v>212</v>
      </c>
    </row>
    <row r="101" spans="1:16" x14ac:dyDescent="0.2">
      <c r="A101" s="19" t="s">
        <v>213</v>
      </c>
      <c r="B101" s="28">
        <v>45917</v>
      </c>
      <c r="C101" s="28"/>
      <c r="D101" s="73">
        <v>52</v>
      </c>
      <c r="E101" s="73">
        <v>4</v>
      </c>
      <c r="F101" s="19"/>
      <c r="G101" s="19"/>
      <c r="H101" s="19">
        <v>4</v>
      </c>
      <c r="I101" s="19">
        <v>1</v>
      </c>
      <c r="J101" s="19">
        <f>1-J100</f>
        <v>0.25</v>
      </c>
      <c r="K101" s="19">
        <v>3</v>
      </c>
      <c r="L101" s="19">
        <v>14</v>
      </c>
      <c r="M101" s="69">
        <f t="shared" si="514"/>
        <v>0.37</v>
      </c>
      <c r="N101" s="22">
        <f t="shared" si="515"/>
        <v>10.5</v>
      </c>
      <c r="O101" s="40">
        <f t="shared" si="513"/>
        <v>15.54</v>
      </c>
      <c r="P101" s="204"/>
    </row>
    <row r="102" spans="1:16" x14ac:dyDescent="0.2">
      <c r="A102" s="19" t="s">
        <v>214</v>
      </c>
      <c r="B102" s="28">
        <v>45917</v>
      </c>
      <c r="C102" s="28"/>
      <c r="D102" s="73">
        <v>52</v>
      </c>
      <c r="E102" s="73">
        <v>4</v>
      </c>
      <c r="F102" s="19"/>
      <c r="G102" s="19"/>
      <c r="H102" s="19">
        <v>4</v>
      </c>
      <c r="I102" s="19">
        <v>7</v>
      </c>
      <c r="J102" s="19">
        <v>1</v>
      </c>
      <c r="K102" s="19">
        <v>2.5</v>
      </c>
      <c r="L102" s="19">
        <v>4</v>
      </c>
      <c r="M102" s="69">
        <f t="shared" si="514"/>
        <v>0.37</v>
      </c>
      <c r="N102" s="22">
        <f t="shared" si="515"/>
        <v>10</v>
      </c>
      <c r="O102" s="40">
        <f t="shared" si="513"/>
        <v>14.8</v>
      </c>
      <c r="P102" s="204"/>
    </row>
    <row r="103" spans="1:16" x14ac:dyDescent="0.2">
      <c r="A103" s="19" t="s">
        <v>215</v>
      </c>
      <c r="B103" s="28">
        <v>45917</v>
      </c>
      <c r="C103" s="28"/>
      <c r="D103" s="73">
        <v>52</v>
      </c>
      <c r="E103" s="73">
        <v>4</v>
      </c>
      <c r="F103" s="21"/>
      <c r="G103" s="21"/>
      <c r="H103" s="19">
        <v>20</v>
      </c>
      <c r="I103" s="19">
        <v>9</v>
      </c>
      <c r="J103" s="19">
        <v>1</v>
      </c>
      <c r="K103" s="19">
        <v>2.5</v>
      </c>
      <c r="L103" s="19">
        <v>2</v>
      </c>
      <c r="M103" s="69">
        <f t="shared" si="514"/>
        <v>0.37</v>
      </c>
      <c r="N103" s="22">
        <f t="shared" si="515"/>
        <v>5</v>
      </c>
      <c r="O103" s="40">
        <f t="shared" si="513"/>
        <v>7.4</v>
      </c>
      <c r="P103" s="202"/>
    </row>
    <row r="104" spans="1:16" x14ac:dyDescent="0.2">
      <c r="A104" s="19" t="s">
        <v>219</v>
      </c>
      <c r="B104" s="28">
        <v>45922</v>
      </c>
      <c r="C104" s="28"/>
      <c r="D104" s="73">
        <v>52</v>
      </c>
      <c r="E104" s="73">
        <v>4</v>
      </c>
      <c r="F104" s="19" t="s">
        <v>70</v>
      </c>
      <c r="G104" s="19" t="s">
        <v>81</v>
      </c>
      <c r="H104" s="19">
        <v>32</v>
      </c>
      <c r="I104" s="19">
        <v>10</v>
      </c>
      <c r="J104" s="19">
        <v>1</v>
      </c>
      <c r="K104" s="19">
        <v>2.5</v>
      </c>
      <c r="L104" s="19">
        <v>2</v>
      </c>
      <c r="M104" s="69">
        <f t="shared" si="514"/>
        <v>0.37</v>
      </c>
      <c r="N104" s="22">
        <f t="shared" si="515"/>
        <v>5</v>
      </c>
      <c r="O104" s="40">
        <f t="shared" si="513"/>
        <v>7.4</v>
      </c>
      <c r="P104" s="86" t="s">
        <v>220</v>
      </c>
    </row>
    <row r="105" spans="1:16" x14ac:dyDescent="0.2">
      <c r="A105" s="71" t="s">
        <v>221</v>
      </c>
      <c r="B105" s="28">
        <v>45923</v>
      </c>
      <c r="C105" s="28"/>
      <c r="D105" s="73">
        <v>52</v>
      </c>
      <c r="E105" s="73">
        <v>4</v>
      </c>
      <c r="F105" s="19" t="s">
        <v>70</v>
      </c>
      <c r="G105" s="21" t="s">
        <v>185</v>
      </c>
      <c r="H105" s="19">
        <v>30</v>
      </c>
      <c r="I105" s="19">
        <v>4</v>
      </c>
      <c r="J105" s="19">
        <v>1</v>
      </c>
      <c r="K105" s="19">
        <v>6</v>
      </c>
      <c r="L105" s="19">
        <v>2</v>
      </c>
      <c r="M105" s="69">
        <f t="shared" si="514"/>
        <v>0.37</v>
      </c>
      <c r="N105" s="22">
        <f t="shared" si="515"/>
        <v>12</v>
      </c>
      <c r="O105" s="40">
        <f t="shared" si="513"/>
        <v>17.759999999999998</v>
      </c>
      <c r="P105" s="33"/>
    </row>
    <row r="106" spans="1:16" x14ac:dyDescent="0.2">
      <c r="A106" s="19" t="s">
        <v>222</v>
      </c>
      <c r="B106" s="28">
        <v>45923</v>
      </c>
      <c r="C106" s="28"/>
      <c r="D106" s="73">
        <v>52</v>
      </c>
      <c r="E106" s="73">
        <v>4</v>
      </c>
      <c r="F106" s="19" t="s">
        <v>70</v>
      </c>
      <c r="G106" s="19" t="s">
        <v>81</v>
      </c>
      <c r="H106" s="19">
        <v>32</v>
      </c>
      <c r="I106" s="19">
        <v>4</v>
      </c>
      <c r="J106" s="19">
        <v>2.5</v>
      </c>
      <c r="K106" s="19">
        <v>3</v>
      </c>
      <c r="L106" s="19">
        <v>4</v>
      </c>
      <c r="M106" s="69">
        <f t="shared" si="514"/>
        <v>0.37</v>
      </c>
      <c r="N106" s="22">
        <f t="shared" si="515"/>
        <v>30</v>
      </c>
      <c r="O106" s="40">
        <f t="shared" si="513"/>
        <v>44.4</v>
      </c>
      <c r="P106" s="198" t="s">
        <v>220</v>
      </c>
    </row>
    <row r="107" spans="1:16" x14ac:dyDescent="0.2">
      <c r="A107" s="19" t="s">
        <v>223</v>
      </c>
      <c r="B107" s="28">
        <v>45923</v>
      </c>
      <c r="C107" s="28"/>
      <c r="D107" s="73">
        <v>52</v>
      </c>
      <c r="E107" s="73">
        <v>4</v>
      </c>
      <c r="F107" s="21"/>
      <c r="G107" s="21"/>
      <c r="H107" s="19">
        <v>32</v>
      </c>
      <c r="I107" s="19">
        <v>10</v>
      </c>
      <c r="J107" s="19">
        <v>1.5</v>
      </c>
      <c r="K107" s="19">
        <v>2.5</v>
      </c>
      <c r="L107" s="19">
        <v>2</v>
      </c>
      <c r="M107" s="69">
        <f t="shared" si="514"/>
        <v>0.37</v>
      </c>
      <c r="N107" s="22">
        <f t="shared" si="515"/>
        <v>7.5</v>
      </c>
      <c r="O107" s="40">
        <f t="shared" si="513"/>
        <v>11.1</v>
      </c>
      <c r="P107" s="202"/>
    </row>
    <row r="108" spans="1:16" x14ac:dyDescent="0.2">
      <c r="A108" s="19" t="s">
        <v>224</v>
      </c>
      <c r="B108" s="28">
        <v>45923</v>
      </c>
      <c r="C108" s="28"/>
      <c r="D108" s="73">
        <v>52</v>
      </c>
      <c r="E108" s="73">
        <v>4</v>
      </c>
      <c r="F108" s="19" t="s">
        <v>70</v>
      </c>
      <c r="G108" s="19" t="s">
        <v>204</v>
      </c>
      <c r="H108" s="19">
        <v>4</v>
      </c>
      <c r="I108" s="19">
        <v>1</v>
      </c>
      <c r="J108" s="19">
        <v>3</v>
      </c>
      <c r="K108" s="19">
        <v>3</v>
      </c>
      <c r="L108" s="19">
        <v>8</v>
      </c>
      <c r="M108" s="69">
        <f t="shared" si="514"/>
        <v>0.37</v>
      </c>
      <c r="N108" s="22">
        <f t="shared" si="515"/>
        <v>72</v>
      </c>
      <c r="O108" s="40">
        <f t="shared" si="513"/>
        <v>106.56</v>
      </c>
      <c r="P108" s="198" t="s">
        <v>212</v>
      </c>
    </row>
    <row r="109" spans="1:16" x14ac:dyDescent="0.2">
      <c r="A109" s="19" t="s">
        <v>225</v>
      </c>
      <c r="B109" s="28">
        <v>45923</v>
      </c>
      <c r="C109" s="28"/>
      <c r="D109" s="73">
        <v>52</v>
      </c>
      <c r="E109" s="73">
        <v>4</v>
      </c>
      <c r="F109" s="21"/>
      <c r="G109" s="21"/>
      <c r="H109" s="19">
        <v>4</v>
      </c>
      <c r="I109" s="19">
        <v>7</v>
      </c>
      <c r="J109" s="19">
        <v>1</v>
      </c>
      <c r="K109" s="19">
        <v>2.5</v>
      </c>
      <c r="L109" s="19">
        <v>4</v>
      </c>
      <c r="M109" s="69">
        <f t="shared" si="514"/>
        <v>0.37</v>
      </c>
      <c r="N109" s="22">
        <f t="shared" si="515"/>
        <v>10</v>
      </c>
      <c r="O109" s="40">
        <f t="shared" si="513"/>
        <v>14.8</v>
      </c>
      <c r="P109" s="202"/>
    </row>
    <row r="110" spans="1:16" x14ac:dyDescent="0.2">
      <c r="A110" s="71" t="s">
        <v>226</v>
      </c>
      <c r="B110" s="28">
        <v>45923</v>
      </c>
      <c r="C110" s="28"/>
      <c r="D110" s="73">
        <v>52</v>
      </c>
      <c r="E110" s="73">
        <v>4</v>
      </c>
      <c r="F110" s="19" t="s">
        <v>70</v>
      </c>
      <c r="G110" s="19" t="s">
        <v>81</v>
      </c>
      <c r="H110" s="19">
        <v>4</v>
      </c>
      <c r="I110" s="19">
        <v>12</v>
      </c>
      <c r="J110" s="19">
        <v>0.75</v>
      </c>
      <c r="K110" s="19">
        <v>3</v>
      </c>
      <c r="L110" s="19">
        <v>28</v>
      </c>
      <c r="M110" s="69">
        <f t="shared" si="514"/>
        <v>0.8</v>
      </c>
      <c r="N110" s="22">
        <f t="shared" si="515"/>
        <v>63</v>
      </c>
      <c r="O110" s="40">
        <f t="shared" si="513"/>
        <v>201.60000000000002</v>
      </c>
      <c r="P110" s="198" t="s">
        <v>227</v>
      </c>
    </row>
    <row r="111" spans="1:16" x14ac:dyDescent="0.2">
      <c r="A111" s="19" t="s">
        <v>228</v>
      </c>
      <c r="B111" s="28">
        <v>45923</v>
      </c>
      <c r="C111" s="28"/>
      <c r="D111" s="73">
        <v>52</v>
      </c>
      <c r="E111" s="73">
        <v>4</v>
      </c>
      <c r="F111" s="19"/>
      <c r="G111" s="19"/>
      <c r="H111" s="19">
        <v>4</v>
      </c>
      <c r="I111" s="19">
        <v>1</v>
      </c>
      <c r="J111" s="19">
        <f>2.5-J110</f>
        <v>1.75</v>
      </c>
      <c r="K111" s="19">
        <v>3</v>
      </c>
      <c r="L111" s="19">
        <v>28</v>
      </c>
      <c r="M111" s="69">
        <f t="shared" si="514"/>
        <v>0.37</v>
      </c>
      <c r="N111" s="22">
        <f t="shared" si="515"/>
        <v>147</v>
      </c>
      <c r="O111" s="40">
        <f t="shared" si="513"/>
        <v>217.56</v>
      </c>
      <c r="P111" s="202"/>
    </row>
    <row r="112" spans="1:16" x14ac:dyDescent="0.2">
      <c r="A112" s="19" t="s">
        <v>229</v>
      </c>
      <c r="B112" s="28">
        <v>45924</v>
      </c>
      <c r="C112" s="28"/>
      <c r="D112" s="73">
        <v>52</v>
      </c>
      <c r="E112" s="73">
        <v>4</v>
      </c>
      <c r="F112" s="19" t="s">
        <v>70</v>
      </c>
      <c r="G112" s="19" t="s">
        <v>163</v>
      </c>
      <c r="H112" s="19">
        <v>33</v>
      </c>
      <c r="I112" s="19">
        <v>4</v>
      </c>
      <c r="J112" s="19">
        <v>1.5</v>
      </c>
      <c r="K112" s="19">
        <v>2.5</v>
      </c>
      <c r="L112" s="19">
        <v>3</v>
      </c>
      <c r="M112" s="69">
        <f t="shared" si="514"/>
        <v>0.37</v>
      </c>
      <c r="N112" s="22">
        <f t="shared" si="515"/>
        <v>11.25</v>
      </c>
      <c r="O112" s="40">
        <f t="shared" si="513"/>
        <v>16.649999999999999</v>
      </c>
      <c r="P112" s="86" t="s">
        <v>193</v>
      </c>
    </row>
    <row r="113" spans="1:16" x14ac:dyDescent="0.2">
      <c r="A113" s="71" t="s">
        <v>230</v>
      </c>
      <c r="B113" s="28">
        <v>45926</v>
      </c>
      <c r="C113" s="28"/>
      <c r="D113" s="73">
        <v>52</v>
      </c>
      <c r="E113" s="73">
        <v>4</v>
      </c>
      <c r="F113" s="19" t="s">
        <v>70</v>
      </c>
      <c r="G113" s="8" t="s">
        <v>127</v>
      </c>
      <c r="H113" s="19">
        <v>0</v>
      </c>
      <c r="I113" s="19">
        <v>12</v>
      </c>
      <c r="J113" s="19">
        <v>0.75</v>
      </c>
      <c r="K113" s="19">
        <v>2.5</v>
      </c>
      <c r="L113" s="19">
        <v>24</v>
      </c>
      <c r="M113" s="69">
        <f t="shared" si="514"/>
        <v>0.8</v>
      </c>
      <c r="N113" s="22">
        <f t="shared" si="515"/>
        <v>45</v>
      </c>
      <c r="O113" s="40">
        <f t="shared" si="513"/>
        <v>144</v>
      </c>
      <c r="P113" s="198" t="s">
        <v>424</v>
      </c>
    </row>
    <row r="114" spans="1:16" x14ac:dyDescent="0.2">
      <c r="A114" s="19" t="s">
        <v>231</v>
      </c>
      <c r="B114" s="28">
        <v>45926</v>
      </c>
      <c r="C114" s="28"/>
      <c r="D114" s="73">
        <v>52</v>
      </c>
      <c r="E114" s="73">
        <v>4</v>
      </c>
      <c r="F114" s="8"/>
      <c r="G114" s="8"/>
      <c r="H114" s="19">
        <v>0</v>
      </c>
      <c r="I114" s="19">
        <v>1</v>
      </c>
      <c r="J114" s="19">
        <f>2.5-J113</f>
        <v>1.75</v>
      </c>
      <c r="K114" s="19">
        <v>2.5</v>
      </c>
      <c r="L114" s="19">
        <v>24</v>
      </c>
      <c r="M114" s="69">
        <f t="shared" si="514"/>
        <v>0.37</v>
      </c>
      <c r="N114" s="22">
        <f t="shared" si="515"/>
        <v>105</v>
      </c>
      <c r="O114" s="40">
        <f t="shared" si="513"/>
        <v>155.4</v>
      </c>
      <c r="P114" s="202"/>
    </row>
    <row r="115" spans="1:16" x14ac:dyDescent="0.2">
      <c r="A115" s="19" t="s">
        <v>232</v>
      </c>
      <c r="B115" s="28">
        <v>45926</v>
      </c>
      <c r="C115" s="28"/>
      <c r="D115" s="73">
        <v>52</v>
      </c>
      <c r="E115" s="73">
        <v>4</v>
      </c>
      <c r="F115" s="19" t="s">
        <v>70</v>
      </c>
      <c r="G115" s="19"/>
      <c r="H115" s="19">
        <v>32</v>
      </c>
      <c r="I115" s="19">
        <v>4</v>
      </c>
      <c r="J115" s="19">
        <v>1.5</v>
      </c>
      <c r="K115" s="19">
        <v>9.5</v>
      </c>
      <c r="L115" s="19">
        <v>6</v>
      </c>
      <c r="M115" s="69">
        <f t="shared" si="514"/>
        <v>0.37</v>
      </c>
      <c r="N115" s="22">
        <f t="shared" si="515"/>
        <v>85.5</v>
      </c>
      <c r="O115" s="40">
        <f t="shared" si="513"/>
        <v>126.53999999999999</v>
      </c>
      <c r="P115" s="198" t="s">
        <v>233</v>
      </c>
    </row>
    <row r="116" spans="1:16" x14ac:dyDescent="0.2">
      <c r="A116" s="19" t="s">
        <v>234</v>
      </c>
      <c r="B116" s="28">
        <v>45926</v>
      </c>
      <c r="C116" s="28"/>
      <c r="D116" s="73">
        <v>52</v>
      </c>
      <c r="E116" s="73">
        <v>4</v>
      </c>
      <c r="F116" s="8"/>
      <c r="G116" s="8"/>
      <c r="H116" s="19"/>
      <c r="I116" s="19">
        <v>10</v>
      </c>
      <c r="J116" s="19">
        <v>1</v>
      </c>
      <c r="K116" s="19">
        <v>4.5</v>
      </c>
      <c r="L116" s="19">
        <v>1</v>
      </c>
      <c r="M116" s="69">
        <f t="shared" si="514"/>
        <v>0.37</v>
      </c>
      <c r="N116" s="22">
        <f t="shared" si="515"/>
        <v>4.5</v>
      </c>
      <c r="O116" s="40">
        <f t="shared" si="513"/>
        <v>6.66</v>
      </c>
      <c r="P116" s="202"/>
    </row>
    <row r="117" spans="1:16" x14ac:dyDescent="0.2">
      <c r="A117" s="71" t="s">
        <v>235</v>
      </c>
      <c r="B117" s="28">
        <v>45930</v>
      </c>
      <c r="C117" s="28"/>
      <c r="D117" s="73">
        <v>52</v>
      </c>
      <c r="E117" s="73">
        <v>4</v>
      </c>
      <c r="F117" s="19" t="s">
        <v>70</v>
      </c>
      <c r="G117" s="19" t="s">
        <v>236</v>
      </c>
      <c r="H117" s="21">
        <v>4</v>
      </c>
      <c r="I117" s="21">
        <v>12</v>
      </c>
      <c r="J117" s="23">
        <v>0.75</v>
      </c>
      <c r="K117" s="19">
        <v>3.5</v>
      </c>
      <c r="L117" s="23">
        <v>6</v>
      </c>
      <c r="M117" s="69">
        <f t="shared" si="514"/>
        <v>0.8</v>
      </c>
      <c r="N117" s="22">
        <f t="shared" si="515"/>
        <v>15.75</v>
      </c>
      <c r="O117" s="40">
        <f t="shared" si="513"/>
        <v>50.400000000000006</v>
      </c>
      <c r="P117" s="208" t="s">
        <v>417</v>
      </c>
    </row>
    <row r="118" spans="1:16" ht="17" thickBot="1" x14ac:dyDescent="0.25">
      <c r="A118" s="19" t="s">
        <v>237</v>
      </c>
      <c r="B118" s="28">
        <v>45930</v>
      </c>
      <c r="C118" s="28"/>
      <c r="D118" s="73">
        <v>52</v>
      </c>
      <c r="E118" s="73">
        <v>4</v>
      </c>
      <c r="F118" s="19"/>
      <c r="G118" s="19"/>
      <c r="H118" s="21">
        <v>4</v>
      </c>
      <c r="I118" s="21">
        <v>1</v>
      </c>
      <c r="J118" s="23">
        <f>2.5-J117</f>
        <v>1.75</v>
      </c>
      <c r="K118" s="19">
        <v>3.5</v>
      </c>
      <c r="L118" s="23">
        <v>6</v>
      </c>
      <c r="M118" s="69">
        <f t="shared" si="514"/>
        <v>0.37</v>
      </c>
      <c r="N118" s="22">
        <f t="shared" si="515"/>
        <v>36.75</v>
      </c>
      <c r="O118" s="40">
        <f t="shared" si="513"/>
        <v>54.39</v>
      </c>
      <c r="P118" s="209"/>
    </row>
    <row r="119" spans="1:16" x14ac:dyDescent="0.2">
      <c r="A119" s="77" t="s">
        <v>238</v>
      </c>
      <c r="B119" s="72">
        <v>45936</v>
      </c>
      <c r="C119" s="72"/>
      <c r="D119" s="73">
        <v>52</v>
      </c>
      <c r="E119" s="73">
        <v>4</v>
      </c>
      <c r="F119" s="76" t="s">
        <v>70</v>
      </c>
      <c r="G119" s="76" t="s">
        <v>239</v>
      </c>
      <c r="H119" s="76">
        <v>0</v>
      </c>
      <c r="I119" s="76">
        <v>12</v>
      </c>
      <c r="J119" s="76">
        <v>0.75</v>
      </c>
      <c r="K119" s="76">
        <v>3</v>
      </c>
      <c r="L119" s="76">
        <v>4</v>
      </c>
      <c r="M119" s="69">
        <f t="shared" si="514"/>
        <v>0.8</v>
      </c>
      <c r="N119" s="22">
        <f t="shared" si="515"/>
        <v>9</v>
      </c>
      <c r="O119" s="40">
        <f t="shared" si="513"/>
        <v>28.8</v>
      </c>
      <c r="P119" s="194" t="s">
        <v>240</v>
      </c>
    </row>
    <row r="120" spans="1:16" x14ac:dyDescent="0.2">
      <c r="A120" s="19" t="s">
        <v>241</v>
      </c>
      <c r="B120" s="28">
        <v>45936</v>
      </c>
      <c r="C120" s="28"/>
      <c r="D120" s="73">
        <v>52</v>
      </c>
      <c r="E120" s="73">
        <v>4</v>
      </c>
      <c r="F120" s="19"/>
      <c r="G120" s="19"/>
      <c r="H120" s="19">
        <v>0</v>
      </c>
      <c r="I120" s="19">
        <v>1</v>
      </c>
      <c r="J120" s="19">
        <f>1.5-J119</f>
        <v>0.75</v>
      </c>
      <c r="K120" s="19">
        <v>3</v>
      </c>
      <c r="L120" s="19">
        <v>4</v>
      </c>
      <c r="M120" s="69">
        <f t="shared" si="514"/>
        <v>0.37</v>
      </c>
      <c r="N120" s="22">
        <f t="shared" si="515"/>
        <v>9</v>
      </c>
      <c r="O120" s="40">
        <f t="shared" si="513"/>
        <v>13.32</v>
      </c>
      <c r="P120" s="204"/>
    </row>
    <row r="121" spans="1:16" ht="17" thickBot="1" x14ac:dyDescent="0.25">
      <c r="A121" s="88" t="s">
        <v>242</v>
      </c>
      <c r="B121" s="89">
        <v>45936</v>
      </c>
      <c r="C121" s="89"/>
      <c r="D121" s="73">
        <v>52</v>
      </c>
      <c r="E121" s="73">
        <v>4</v>
      </c>
      <c r="F121" s="88"/>
      <c r="G121" s="88"/>
      <c r="H121" s="88">
        <v>0</v>
      </c>
      <c r="I121" s="88">
        <v>1</v>
      </c>
      <c r="J121" s="88">
        <v>1</v>
      </c>
      <c r="K121" s="88">
        <v>3</v>
      </c>
      <c r="L121" s="88">
        <v>4</v>
      </c>
      <c r="M121" s="69">
        <f t="shared" si="514"/>
        <v>0.37</v>
      </c>
      <c r="N121" s="22">
        <f t="shared" si="515"/>
        <v>12</v>
      </c>
      <c r="O121" s="40">
        <f t="shared" si="513"/>
        <v>17.759999999999998</v>
      </c>
      <c r="P121" s="195"/>
    </row>
    <row r="122" spans="1:16" x14ac:dyDescent="0.2">
      <c r="A122" s="76" t="s">
        <v>243</v>
      </c>
      <c r="B122" s="72">
        <v>45936</v>
      </c>
      <c r="C122" s="72"/>
      <c r="D122" s="73">
        <v>52</v>
      </c>
      <c r="E122" s="73">
        <v>4</v>
      </c>
      <c r="F122" s="76" t="s">
        <v>70</v>
      </c>
      <c r="G122" s="76" t="s">
        <v>100</v>
      </c>
      <c r="H122" s="73">
        <v>0</v>
      </c>
      <c r="I122" s="76">
        <v>12</v>
      </c>
      <c r="J122" s="76">
        <v>0.75</v>
      </c>
      <c r="K122" s="76">
        <v>3</v>
      </c>
      <c r="L122" s="76">
        <v>6</v>
      </c>
      <c r="M122" s="69">
        <f t="shared" si="514"/>
        <v>0.8</v>
      </c>
      <c r="N122" s="22">
        <f t="shared" si="515"/>
        <v>13.5</v>
      </c>
      <c r="O122" s="40">
        <f t="shared" si="513"/>
        <v>43.2</v>
      </c>
      <c r="P122" s="200" t="s">
        <v>244</v>
      </c>
    </row>
    <row r="123" spans="1:16" ht="17" thickBot="1" x14ac:dyDescent="0.25">
      <c r="A123" s="88" t="s">
        <v>245</v>
      </c>
      <c r="B123" s="89">
        <v>45936</v>
      </c>
      <c r="C123" s="89"/>
      <c r="D123" s="73">
        <v>52</v>
      </c>
      <c r="E123" s="73">
        <v>4</v>
      </c>
      <c r="F123" s="88"/>
      <c r="G123" s="88"/>
      <c r="H123" s="88">
        <v>0</v>
      </c>
      <c r="I123" s="88">
        <v>1</v>
      </c>
      <c r="J123" s="88">
        <f>2.5-J122</f>
        <v>1.75</v>
      </c>
      <c r="K123" s="88">
        <v>3</v>
      </c>
      <c r="L123" s="88">
        <v>6</v>
      </c>
      <c r="M123" s="69">
        <f t="shared" si="514"/>
        <v>0.37</v>
      </c>
      <c r="N123" s="22">
        <f t="shared" si="515"/>
        <v>31.5</v>
      </c>
      <c r="O123" s="40">
        <f t="shared" si="513"/>
        <v>46.62</v>
      </c>
      <c r="P123" s="195"/>
    </row>
    <row r="124" spans="1:16" ht="17" thickBot="1" x14ac:dyDescent="0.25">
      <c r="A124" s="90" t="s">
        <v>246</v>
      </c>
      <c r="B124" s="91">
        <v>45938</v>
      </c>
      <c r="C124" s="91"/>
      <c r="D124" s="73">
        <v>52</v>
      </c>
      <c r="E124" s="73">
        <v>4</v>
      </c>
      <c r="F124" s="92" t="s">
        <v>70</v>
      </c>
      <c r="G124" s="92" t="s">
        <v>247</v>
      </c>
      <c r="H124" s="92">
        <v>0</v>
      </c>
      <c r="I124" s="92">
        <v>1</v>
      </c>
      <c r="J124" s="93">
        <v>1.5</v>
      </c>
      <c r="K124" s="93">
        <v>3</v>
      </c>
      <c r="L124" s="93">
        <v>2</v>
      </c>
      <c r="M124" s="69">
        <f t="shared" si="514"/>
        <v>0.37</v>
      </c>
      <c r="N124" s="22">
        <f t="shared" si="515"/>
        <v>9</v>
      </c>
      <c r="O124" s="40">
        <f t="shared" si="513"/>
        <v>13.32</v>
      </c>
      <c r="P124" s="94"/>
    </row>
    <row r="125" spans="1:16" ht="17" thickBot="1" x14ac:dyDescent="0.25">
      <c r="A125" s="90" t="s">
        <v>248</v>
      </c>
      <c r="B125" s="95">
        <v>45938</v>
      </c>
      <c r="C125" s="95"/>
      <c r="D125" s="73">
        <v>52</v>
      </c>
      <c r="E125" s="73">
        <v>4</v>
      </c>
      <c r="F125" s="92" t="s">
        <v>70</v>
      </c>
      <c r="G125" s="92" t="s">
        <v>249</v>
      </c>
      <c r="H125" s="92">
        <v>0</v>
      </c>
      <c r="I125" s="92">
        <v>1</v>
      </c>
      <c r="J125" s="93">
        <v>1.5</v>
      </c>
      <c r="K125" s="93">
        <v>3</v>
      </c>
      <c r="L125" s="93">
        <v>2</v>
      </c>
      <c r="M125" s="69">
        <f t="shared" si="514"/>
        <v>0.37</v>
      </c>
      <c r="N125" s="22">
        <f t="shared" si="515"/>
        <v>9</v>
      </c>
      <c r="O125" s="40">
        <f t="shared" si="513"/>
        <v>13.32</v>
      </c>
      <c r="P125" s="33"/>
    </row>
    <row r="126" spans="1:16" x14ac:dyDescent="0.2">
      <c r="A126" s="76" t="s">
        <v>250</v>
      </c>
      <c r="B126" s="28">
        <v>45938</v>
      </c>
      <c r="C126" s="28"/>
      <c r="D126" s="73">
        <v>52</v>
      </c>
      <c r="E126" s="73">
        <v>4</v>
      </c>
      <c r="F126" s="19" t="s">
        <v>70</v>
      </c>
      <c r="G126" s="19" t="s">
        <v>251</v>
      </c>
      <c r="H126" s="73">
        <v>32</v>
      </c>
      <c r="I126" s="76">
        <v>4</v>
      </c>
      <c r="J126" s="96">
        <v>1</v>
      </c>
      <c r="K126" s="76">
        <v>2.5</v>
      </c>
      <c r="L126" s="96">
        <v>4</v>
      </c>
      <c r="M126" s="69">
        <f t="shared" si="514"/>
        <v>0.37</v>
      </c>
      <c r="N126" s="22">
        <f t="shared" si="515"/>
        <v>10</v>
      </c>
      <c r="O126" s="40">
        <f t="shared" si="513"/>
        <v>14.8</v>
      </c>
      <c r="P126" s="198" t="s">
        <v>252</v>
      </c>
    </row>
    <row r="127" spans="1:16" ht="17" thickBot="1" x14ac:dyDescent="0.25">
      <c r="A127" s="97" t="s">
        <v>253</v>
      </c>
      <c r="B127" s="89">
        <v>45938</v>
      </c>
      <c r="C127" s="89"/>
      <c r="D127" s="73">
        <v>52</v>
      </c>
      <c r="E127" s="73">
        <v>4</v>
      </c>
      <c r="F127" s="88"/>
      <c r="G127" s="98"/>
      <c r="H127" s="99">
        <v>32</v>
      </c>
      <c r="I127" s="88">
        <v>10</v>
      </c>
      <c r="J127" s="88">
        <v>1</v>
      </c>
      <c r="K127" s="88">
        <v>2.5</v>
      </c>
      <c r="L127" s="88">
        <v>2</v>
      </c>
      <c r="M127" s="69">
        <f t="shared" si="514"/>
        <v>0.37</v>
      </c>
      <c r="N127" s="22">
        <f t="shared" si="515"/>
        <v>5</v>
      </c>
      <c r="O127" s="40">
        <f t="shared" si="513"/>
        <v>7.4</v>
      </c>
      <c r="P127" s="195"/>
    </row>
    <row r="128" spans="1:16" x14ac:dyDescent="0.2">
      <c r="A128" s="76" t="s">
        <v>254</v>
      </c>
      <c r="B128" s="72">
        <v>45939</v>
      </c>
      <c r="C128" s="72"/>
      <c r="D128" s="73">
        <v>52</v>
      </c>
      <c r="E128" s="73">
        <v>4</v>
      </c>
      <c r="F128" s="76" t="s">
        <v>70</v>
      </c>
      <c r="G128" s="76" t="s">
        <v>85</v>
      </c>
      <c r="H128" s="76">
        <v>0</v>
      </c>
      <c r="I128" s="76">
        <v>7</v>
      </c>
      <c r="J128" s="76">
        <v>1</v>
      </c>
      <c r="K128" s="76">
        <v>5</v>
      </c>
      <c r="L128" s="76">
        <v>8</v>
      </c>
      <c r="M128" s="69">
        <f t="shared" si="514"/>
        <v>0.37</v>
      </c>
      <c r="N128" s="22">
        <f t="shared" si="515"/>
        <v>40</v>
      </c>
      <c r="O128" s="40">
        <f t="shared" si="513"/>
        <v>59.2</v>
      </c>
      <c r="P128" s="198" t="s">
        <v>255</v>
      </c>
    </row>
    <row r="129" spans="1:17" ht="17" thickBot="1" x14ac:dyDescent="0.25">
      <c r="A129" s="88" t="s">
        <v>256</v>
      </c>
      <c r="B129" s="100">
        <v>45939</v>
      </c>
      <c r="C129" s="100"/>
      <c r="D129" s="73">
        <v>52</v>
      </c>
      <c r="E129" s="73">
        <v>4</v>
      </c>
      <c r="F129" s="88"/>
      <c r="G129" s="88"/>
      <c r="H129" s="88">
        <v>0</v>
      </c>
      <c r="I129" s="88">
        <v>7</v>
      </c>
      <c r="J129" s="88">
        <v>1</v>
      </c>
      <c r="K129" s="88">
        <v>10</v>
      </c>
      <c r="L129" s="88">
        <v>2</v>
      </c>
      <c r="M129" s="69">
        <f t="shared" si="514"/>
        <v>0.37</v>
      </c>
      <c r="N129" s="22">
        <f t="shared" si="515"/>
        <v>20</v>
      </c>
      <c r="O129" s="40">
        <f t="shared" si="513"/>
        <v>29.6</v>
      </c>
      <c r="P129" s="202"/>
    </row>
    <row r="130" spans="1:17" ht="17" thickBot="1" x14ac:dyDescent="0.25">
      <c r="A130" s="93" t="s">
        <v>257</v>
      </c>
      <c r="B130" s="89">
        <v>45939</v>
      </c>
      <c r="C130" s="89"/>
      <c r="D130" s="73">
        <v>52</v>
      </c>
      <c r="E130" s="73">
        <v>4</v>
      </c>
      <c r="F130" s="93" t="s">
        <v>70</v>
      </c>
      <c r="G130" s="93" t="s">
        <v>258</v>
      </c>
      <c r="H130" s="93">
        <v>0</v>
      </c>
      <c r="I130" s="93">
        <v>1</v>
      </c>
      <c r="J130" s="93">
        <v>2.5</v>
      </c>
      <c r="K130" s="93">
        <v>2.5</v>
      </c>
      <c r="L130" s="93">
        <v>2</v>
      </c>
      <c r="M130" s="69">
        <f t="shared" si="514"/>
        <v>0.37</v>
      </c>
      <c r="N130" s="22">
        <f t="shared" si="515"/>
        <v>12.5</v>
      </c>
      <c r="O130" s="40">
        <f t="shared" si="513"/>
        <v>18.5</v>
      </c>
      <c r="P130" s="101"/>
    </row>
    <row r="131" spans="1:17" x14ac:dyDescent="0.2">
      <c r="A131" s="19" t="s">
        <v>259</v>
      </c>
      <c r="B131" s="28">
        <v>45940</v>
      </c>
      <c r="C131" s="28"/>
      <c r="D131" s="73">
        <v>52</v>
      </c>
      <c r="E131" s="73">
        <v>4</v>
      </c>
      <c r="F131" s="76" t="s">
        <v>70</v>
      </c>
      <c r="G131" s="76" t="s">
        <v>239</v>
      </c>
      <c r="H131" s="76">
        <v>0</v>
      </c>
      <c r="I131" s="76">
        <v>1</v>
      </c>
      <c r="J131" s="76">
        <v>1.5</v>
      </c>
      <c r="K131" s="76">
        <v>7.5</v>
      </c>
      <c r="L131" s="76">
        <v>4</v>
      </c>
      <c r="M131" s="69">
        <f t="shared" si="514"/>
        <v>0.37</v>
      </c>
      <c r="N131" s="22">
        <f t="shared" si="515"/>
        <v>45</v>
      </c>
      <c r="O131" s="40">
        <f t="shared" si="513"/>
        <v>66.599999999999994</v>
      </c>
      <c r="P131" s="194" t="s">
        <v>260</v>
      </c>
    </row>
    <row r="132" spans="1:17" ht="17" thickBot="1" x14ac:dyDescent="0.25">
      <c r="A132" s="88" t="s">
        <v>261</v>
      </c>
      <c r="B132" s="89">
        <v>45940</v>
      </c>
      <c r="C132" s="89"/>
      <c r="D132" s="73">
        <v>52</v>
      </c>
      <c r="E132" s="73">
        <v>4</v>
      </c>
      <c r="F132" s="88"/>
      <c r="G132" s="88"/>
      <c r="H132" s="88">
        <v>0</v>
      </c>
      <c r="I132" s="88">
        <v>7</v>
      </c>
      <c r="J132" s="88">
        <v>1</v>
      </c>
      <c r="K132" s="88">
        <v>4.5</v>
      </c>
      <c r="L132" s="88">
        <v>2</v>
      </c>
      <c r="M132" s="69">
        <f t="shared" si="514"/>
        <v>0.37</v>
      </c>
      <c r="N132" s="22">
        <f t="shared" si="515"/>
        <v>9</v>
      </c>
      <c r="O132" s="40">
        <f t="shared" si="513"/>
        <v>13.32</v>
      </c>
      <c r="P132" s="195"/>
    </row>
    <row r="133" spans="1:17" x14ac:dyDescent="0.2">
      <c r="A133" s="76" t="s">
        <v>262</v>
      </c>
      <c r="B133" s="28">
        <v>45940</v>
      </c>
      <c r="C133" s="28"/>
      <c r="D133" s="73">
        <v>52</v>
      </c>
      <c r="E133" s="73">
        <v>4</v>
      </c>
      <c r="F133" s="76" t="s">
        <v>70</v>
      </c>
      <c r="G133" s="76" t="s">
        <v>236</v>
      </c>
      <c r="H133" s="73">
        <v>4</v>
      </c>
      <c r="I133" s="73">
        <v>12</v>
      </c>
      <c r="J133" s="96">
        <v>0.75</v>
      </c>
      <c r="K133" s="76">
        <v>3.5</v>
      </c>
      <c r="L133" s="96">
        <v>22</v>
      </c>
      <c r="M133" s="69">
        <f t="shared" si="514"/>
        <v>0.8</v>
      </c>
      <c r="N133" s="22">
        <f t="shared" si="515"/>
        <v>57.75</v>
      </c>
      <c r="O133" s="40">
        <f t="shared" si="513"/>
        <v>184.8</v>
      </c>
      <c r="P133" s="200" t="s">
        <v>263</v>
      </c>
    </row>
    <row r="134" spans="1:17" ht="17" thickBot="1" x14ac:dyDescent="0.25">
      <c r="A134" s="88" t="s">
        <v>264</v>
      </c>
      <c r="B134" s="89">
        <v>45940</v>
      </c>
      <c r="C134" s="89"/>
      <c r="D134" s="73">
        <v>52</v>
      </c>
      <c r="E134" s="73">
        <v>4</v>
      </c>
      <c r="F134" s="88"/>
      <c r="G134" s="88"/>
      <c r="H134" s="98">
        <v>4</v>
      </c>
      <c r="I134" s="98">
        <v>1</v>
      </c>
      <c r="J134" s="102">
        <f>2.5-J133</f>
        <v>1.75</v>
      </c>
      <c r="K134" s="88">
        <v>3.5</v>
      </c>
      <c r="L134" s="102">
        <v>22</v>
      </c>
      <c r="M134" s="69">
        <f t="shared" si="514"/>
        <v>0.37</v>
      </c>
      <c r="N134" s="22">
        <f t="shared" si="515"/>
        <v>134.75</v>
      </c>
      <c r="O134" s="40">
        <f t="shared" ref="O134:O159" si="516">N134*M134*E134</f>
        <v>199.43</v>
      </c>
      <c r="P134" s="195"/>
    </row>
    <row r="135" spans="1:17" ht="17" thickBot="1" x14ac:dyDescent="0.25">
      <c r="A135" s="93" t="s">
        <v>265</v>
      </c>
      <c r="B135" s="91">
        <v>45941</v>
      </c>
      <c r="C135" s="91"/>
      <c r="D135" s="73">
        <v>52</v>
      </c>
      <c r="E135" s="73">
        <v>4</v>
      </c>
      <c r="F135" s="93" t="s">
        <v>70</v>
      </c>
      <c r="G135" s="93" t="s">
        <v>266</v>
      </c>
      <c r="H135" s="93">
        <v>34</v>
      </c>
      <c r="I135" s="93">
        <v>4</v>
      </c>
      <c r="J135" s="93">
        <v>1</v>
      </c>
      <c r="K135" s="93">
        <v>3</v>
      </c>
      <c r="L135" s="93">
        <v>4</v>
      </c>
      <c r="M135" s="69">
        <f t="shared" si="514"/>
        <v>0.37</v>
      </c>
      <c r="N135" s="22">
        <f t="shared" si="515"/>
        <v>12</v>
      </c>
      <c r="O135" s="40">
        <f t="shared" si="516"/>
        <v>17.759999999999998</v>
      </c>
      <c r="P135" s="103" t="s">
        <v>193</v>
      </c>
    </row>
    <row r="136" spans="1:17" ht="17" thickBot="1" x14ac:dyDescent="0.25">
      <c r="A136" s="90" t="s">
        <v>267</v>
      </c>
      <c r="B136" s="91">
        <v>45941</v>
      </c>
      <c r="C136" s="91"/>
      <c r="D136" s="73">
        <v>52</v>
      </c>
      <c r="E136" s="73">
        <v>4</v>
      </c>
      <c r="F136" s="93" t="s">
        <v>70</v>
      </c>
      <c r="G136" s="93" t="s">
        <v>268</v>
      </c>
      <c r="H136" s="93">
        <v>32</v>
      </c>
      <c r="I136" s="93">
        <v>4</v>
      </c>
      <c r="J136" s="93">
        <v>1</v>
      </c>
      <c r="K136" s="93">
        <v>2</v>
      </c>
      <c r="L136" s="93">
        <v>4</v>
      </c>
      <c r="M136" s="69">
        <f t="shared" si="514"/>
        <v>0.37</v>
      </c>
      <c r="N136" s="22">
        <f t="shared" si="515"/>
        <v>8</v>
      </c>
      <c r="O136" s="40">
        <f t="shared" si="516"/>
        <v>11.84</v>
      </c>
      <c r="P136" s="93"/>
    </row>
    <row r="137" spans="1:17" ht="17" thickBot="1" x14ac:dyDescent="0.25">
      <c r="A137" s="97" t="s">
        <v>269</v>
      </c>
      <c r="B137" s="100">
        <v>45941</v>
      </c>
      <c r="C137" s="100"/>
      <c r="D137" s="73">
        <v>52</v>
      </c>
      <c r="E137" s="73">
        <v>4</v>
      </c>
      <c r="F137" s="97" t="s">
        <v>70</v>
      </c>
      <c r="G137" s="97" t="s">
        <v>270</v>
      </c>
      <c r="H137" s="97">
        <v>32</v>
      </c>
      <c r="I137" s="97">
        <v>4</v>
      </c>
      <c r="J137" s="97">
        <v>1.5</v>
      </c>
      <c r="K137" s="97">
        <v>3</v>
      </c>
      <c r="L137" s="97">
        <v>4</v>
      </c>
      <c r="M137" s="69">
        <f t="shared" si="514"/>
        <v>0.37</v>
      </c>
      <c r="N137" s="22">
        <f t="shared" si="515"/>
        <v>18</v>
      </c>
      <c r="O137" s="40">
        <f t="shared" si="516"/>
        <v>26.64</v>
      </c>
      <c r="P137" s="103" t="s">
        <v>271</v>
      </c>
    </row>
    <row r="138" spans="1:17" ht="17" thickBot="1" x14ac:dyDescent="0.25">
      <c r="A138" s="104" t="s">
        <v>272</v>
      </c>
      <c r="B138" s="100">
        <v>45941</v>
      </c>
      <c r="C138" s="100"/>
      <c r="D138" s="73">
        <v>52</v>
      </c>
      <c r="E138" s="73">
        <v>4</v>
      </c>
      <c r="F138" s="97" t="s">
        <v>70</v>
      </c>
      <c r="G138" s="97" t="s">
        <v>266</v>
      </c>
      <c r="H138" s="97">
        <v>30</v>
      </c>
      <c r="I138" s="97">
        <v>4</v>
      </c>
      <c r="J138" s="97">
        <v>1</v>
      </c>
      <c r="K138" s="97">
        <v>3</v>
      </c>
      <c r="L138" s="97">
        <v>4</v>
      </c>
      <c r="M138" s="69">
        <f t="shared" si="514"/>
        <v>0.37</v>
      </c>
      <c r="N138" s="22">
        <f t="shared" si="515"/>
        <v>12</v>
      </c>
      <c r="O138" s="40">
        <f t="shared" si="516"/>
        <v>17.759999999999998</v>
      </c>
      <c r="P138" s="125" t="s">
        <v>399</v>
      </c>
    </row>
    <row r="139" spans="1:17" ht="17" thickBot="1" x14ac:dyDescent="0.25">
      <c r="A139" s="93" t="s">
        <v>273</v>
      </c>
      <c r="B139" s="91">
        <v>45943</v>
      </c>
      <c r="C139" s="91"/>
      <c r="D139" s="73">
        <v>52</v>
      </c>
      <c r="E139" s="73">
        <v>4</v>
      </c>
      <c r="F139" s="93" t="s">
        <v>70</v>
      </c>
      <c r="G139" s="93" t="s">
        <v>236</v>
      </c>
      <c r="H139" s="93">
        <v>32</v>
      </c>
      <c r="I139" s="93">
        <v>10</v>
      </c>
      <c r="J139" s="93">
        <v>1.5</v>
      </c>
      <c r="K139" s="93">
        <v>2.5</v>
      </c>
      <c r="L139" s="93">
        <v>2</v>
      </c>
      <c r="M139" s="69">
        <f t="shared" si="514"/>
        <v>0.37</v>
      </c>
      <c r="N139" s="22">
        <f t="shared" si="515"/>
        <v>7.5</v>
      </c>
      <c r="O139" s="40">
        <f t="shared" si="516"/>
        <v>11.1</v>
      </c>
      <c r="P139" s="103" t="s">
        <v>263</v>
      </c>
    </row>
    <row r="140" spans="1:17" ht="17" thickBot="1" x14ac:dyDescent="0.25">
      <c r="A140" s="93" t="s">
        <v>274</v>
      </c>
      <c r="B140" s="91">
        <v>45943</v>
      </c>
      <c r="C140" s="91"/>
      <c r="D140" s="73">
        <v>52</v>
      </c>
      <c r="E140" s="73">
        <v>4</v>
      </c>
      <c r="F140" s="93" t="s">
        <v>70</v>
      </c>
      <c r="G140" s="93" t="s">
        <v>81</v>
      </c>
      <c r="H140" s="93">
        <v>30</v>
      </c>
      <c r="I140" s="93">
        <v>10</v>
      </c>
      <c r="J140" s="93">
        <v>2.5</v>
      </c>
      <c r="K140" s="93">
        <v>2.5</v>
      </c>
      <c r="L140" s="93">
        <v>2</v>
      </c>
      <c r="M140" s="69">
        <f t="shared" si="514"/>
        <v>0.37</v>
      </c>
      <c r="N140" s="22">
        <f t="shared" si="515"/>
        <v>12.5</v>
      </c>
      <c r="O140" s="40">
        <f t="shared" si="516"/>
        <v>18.5</v>
      </c>
      <c r="P140" s="103" t="s">
        <v>275</v>
      </c>
    </row>
    <row r="141" spans="1:17" ht="17" thickBot="1" x14ac:dyDescent="0.25">
      <c r="A141" s="93" t="s">
        <v>276</v>
      </c>
      <c r="B141" s="91">
        <v>45943</v>
      </c>
      <c r="C141" s="91"/>
      <c r="D141" s="73">
        <v>52</v>
      </c>
      <c r="E141" s="73">
        <v>4</v>
      </c>
      <c r="F141" s="93" t="s">
        <v>70</v>
      </c>
      <c r="G141" s="93" t="s">
        <v>85</v>
      </c>
      <c r="H141" s="93">
        <v>0</v>
      </c>
      <c r="I141" s="93">
        <v>7</v>
      </c>
      <c r="J141" s="93">
        <v>1</v>
      </c>
      <c r="K141" s="93">
        <v>10</v>
      </c>
      <c r="L141" s="93">
        <v>1</v>
      </c>
      <c r="M141" s="69">
        <f t="shared" si="514"/>
        <v>0.37</v>
      </c>
      <c r="N141" s="22">
        <f t="shared" si="515"/>
        <v>10</v>
      </c>
      <c r="O141" s="40">
        <f t="shared" si="516"/>
        <v>14.8</v>
      </c>
      <c r="P141" s="103" t="s">
        <v>255</v>
      </c>
    </row>
    <row r="142" spans="1:17" x14ac:dyDescent="0.2">
      <c r="A142" s="77" t="s">
        <v>277</v>
      </c>
      <c r="B142" s="72">
        <v>45944</v>
      </c>
      <c r="C142" s="72"/>
      <c r="D142" s="73">
        <v>52</v>
      </c>
      <c r="E142" s="73">
        <v>4</v>
      </c>
      <c r="F142" s="19" t="s">
        <v>70</v>
      </c>
      <c r="G142" s="76" t="s">
        <v>249</v>
      </c>
      <c r="H142" s="76">
        <v>4</v>
      </c>
      <c r="I142" s="76">
        <v>12</v>
      </c>
      <c r="J142" s="76">
        <v>0.75</v>
      </c>
      <c r="K142" s="76">
        <v>3.5</v>
      </c>
      <c r="L142" s="76">
        <v>30</v>
      </c>
      <c r="M142" s="69">
        <f t="shared" si="514"/>
        <v>0.8</v>
      </c>
      <c r="N142" s="22">
        <f t="shared" si="515"/>
        <v>78.75</v>
      </c>
      <c r="O142" s="40">
        <f t="shared" si="516"/>
        <v>252</v>
      </c>
      <c r="P142" s="201" t="s">
        <v>278</v>
      </c>
    </row>
    <row r="143" spans="1:17" ht="17" thickBot="1" x14ac:dyDescent="0.25">
      <c r="A143" s="88" t="s">
        <v>279</v>
      </c>
      <c r="B143" s="89">
        <v>45944</v>
      </c>
      <c r="C143" s="89"/>
      <c r="D143" s="73">
        <v>52</v>
      </c>
      <c r="E143" s="73">
        <v>4</v>
      </c>
      <c r="F143" s="88"/>
      <c r="G143" s="88"/>
      <c r="H143" s="88">
        <v>4</v>
      </c>
      <c r="I143" s="88">
        <v>1</v>
      </c>
      <c r="J143" s="88">
        <f>3-J142</f>
        <v>2.25</v>
      </c>
      <c r="K143" s="88">
        <v>3.5</v>
      </c>
      <c r="L143" s="88">
        <v>30</v>
      </c>
      <c r="M143" s="69">
        <f t="shared" si="514"/>
        <v>0.37</v>
      </c>
      <c r="N143" s="22">
        <f t="shared" si="515"/>
        <v>236.25</v>
      </c>
      <c r="O143" s="40">
        <f t="shared" si="516"/>
        <v>349.65</v>
      </c>
      <c r="P143" s="187"/>
      <c r="Q143" s="56"/>
    </row>
    <row r="144" spans="1:17" x14ac:dyDescent="0.2">
      <c r="A144" s="105" t="s">
        <v>280</v>
      </c>
      <c r="B144" s="106">
        <v>45946</v>
      </c>
      <c r="C144" s="106"/>
      <c r="D144" s="73">
        <v>52</v>
      </c>
      <c r="E144" s="73">
        <v>4</v>
      </c>
      <c r="F144" s="105" t="s">
        <v>70</v>
      </c>
      <c r="G144" s="105" t="s">
        <v>266</v>
      </c>
      <c r="H144" s="107">
        <v>30</v>
      </c>
      <c r="I144" s="107">
        <v>12</v>
      </c>
      <c r="J144" s="108">
        <v>0.75</v>
      </c>
      <c r="K144" s="105">
        <v>3</v>
      </c>
      <c r="L144" s="108">
        <v>2</v>
      </c>
      <c r="M144" s="69">
        <f t="shared" ref="M144:M194" si="517">INDEX($T$2:$T$13,MATCH(I144,$R$2:$R$13,0))</f>
        <v>0.8</v>
      </c>
      <c r="N144" s="22">
        <f t="shared" si="515"/>
        <v>4.5</v>
      </c>
      <c r="O144" s="40">
        <f t="shared" si="516"/>
        <v>14.4</v>
      </c>
      <c r="P144" s="201" t="s">
        <v>281</v>
      </c>
      <c r="Q144" s="56"/>
    </row>
    <row r="145" spans="1:17" x14ac:dyDescent="0.2">
      <c r="A145" s="76" t="s">
        <v>282</v>
      </c>
      <c r="B145" s="72">
        <v>45946</v>
      </c>
      <c r="C145" s="72"/>
      <c r="D145" s="73">
        <v>52</v>
      </c>
      <c r="E145" s="73">
        <v>4</v>
      </c>
      <c r="F145" s="19"/>
      <c r="G145" s="19"/>
      <c r="H145" s="19">
        <v>30</v>
      </c>
      <c r="I145" s="19">
        <v>4</v>
      </c>
      <c r="J145" s="19">
        <f>2-J144</f>
        <v>1.25</v>
      </c>
      <c r="K145" s="19">
        <v>3</v>
      </c>
      <c r="L145" s="23">
        <v>2</v>
      </c>
      <c r="M145" s="69">
        <f t="shared" si="517"/>
        <v>0.37</v>
      </c>
      <c r="N145" s="22">
        <f t="shared" si="515"/>
        <v>7.5</v>
      </c>
      <c r="O145" s="40">
        <f t="shared" si="516"/>
        <v>11.1</v>
      </c>
      <c r="P145" s="188"/>
      <c r="Q145" s="56"/>
    </row>
    <row r="146" spans="1:17" ht="17" thickBot="1" x14ac:dyDescent="0.25">
      <c r="A146" s="88" t="s">
        <v>283</v>
      </c>
      <c r="B146" s="89">
        <v>45946</v>
      </c>
      <c r="C146" s="89"/>
      <c r="D146" s="73">
        <v>52</v>
      </c>
      <c r="E146" s="73">
        <v>4</v>
      </c>
      <c r="F146" s="98"/>
      <c r="G146" s="98"/>
      <c r="H146" s="88">
        <v>30</v>
      </c>
      <c r="I146" s="88">
        <v>10</v>
      </c>
      <c r="J146" s="88">
        <v>1.5</v>
      </c>
      <c r="K146" s="88">
        <v>3</v>
      </c>
      <c r="L146" s="88">
        <v>2</v>
      </c>
      <c r="M146" s="69">
        <f t="shared" si="517"/>
        <v>0.37</v>
      </c>
      <c r="N146" s="22">
        <f t="shared" si="515"/>
        <v>9</v>
      </c>
      <c r="O146" s="40">
        <f t="shared" si="516"/>
        <v>13.32</v>
      </c>
      <c r="P146" s="187"/>
      <c r="Q146" s="56"/>
    </row>
    <row r="147" spans="1:17" x14ac:dyDescent="0.2">
      <c r="A147" s="77" t="s">
        <v>284</v>
      </c>
      <c r="B147" s="106">
        <v>45946</v>
      </c>
      <c r="C147" s="106"/>
      <c r="D147" s="73">
        <v>52</v>
      </c>
      <c r="E147" s="73">
        <v>4</v>
      </c>
      <c r="F147" s="105" t="s">
        <v>70</v>
      </c>
      <c r="G147" s="105" t="s">
        <v>285</v>
      </c>
      <c r="H147" s="76">
        <v>0</v>
      </c>
      <c r="I147" s="76">
        <v>12</v>
      </c>
      <c r="J147" s="76">
        <v>0.75</v>
      </c>
      <c r="K147" s="76">
        <v>3</v>
      </c>
      <c r="L147" s="76">
        <v>26</v>
      </c>
      <c r="M147" s="69">
        <f t="shared" si="517"/>
        <v>0.8</v>
      </c>
      <c r="N147" s="22">
        <f t="shared" si="515"/>
        <v>58.5</v>
      </c>
      <c r="O147" s="40">
        <f t="shared" si="516"/>
        <v>187.20000000000002</v>
      </c>
      <c r="P147" s="194" t="s">
        <v>286</v>
      </c>
    </row>
    <row r="148" spans="1:17" ht="17" thickBot="1" x14ac:dyDescent="0.25">
      <c r="A148" s="88" t="s">
        <v>287</v>
      </c>
      <c r="B148" s="89">
        <v>45946</v>
      </c>
      <c r="C148" s="89"/>
      <c r="D148" s="73">
        <v>52</v>
      </c>
      <c r="E148" s="73">
        <v>4</v>
      </c>
      <c r="F148" s="88"/>
      <c r="G148" s="88"/>
      <c r="H148" s="88">
        <v>0</v>
      </c>
      <c r="I148" s="88">
        <v>1</v>
      </c>
      <c r="J148" s="88">
        <f>3-J147</f>
        <v>2.25</v>
      </c>
      <c r="K148" s="88">
        <v>3</v>
      </c>
      <c r="L148" s="88">
        <v>26</v>
      </c>
      <c r="M148" s="69">
        <f t="shared" si="517"/>
        <v>0.37</v>
      </c>
      <c r="N148" s="22">
        <f t="shared" si="515"/>
        <v>175.5</v>
      </c>
      <c r="O148" s="40">
        <f t="shared" si="516"/>
        <v>259.74</v>
      </c>
      <c r="P148" s="195"/>
    </row>
    <row r="149" spans="1:17" x14ac:dyDescent="0.2">
      <c r="A149" s="75" t="s">
        <v>288</v>
      </c>
      <c r="B149" s="72">
        <v>45947</v>
      </c>
      <c r="C149" s="72"/>
      <c r="D149" s="73">
        <v>52</v>
      </c>
      <c r="E149" s="73">
        <v>4</v>
      </c>
      <c r="F149" s="75" t="s">
        <v>70</v>
      </c>
      <c r="G149" s="75" t="s">
        <v>249</v>
      </c>
      <c r="H149" s="75">
        <v>30</v>
      </c>
      <c r="I149" s="75">
        <v>12</v>
      </c>
      <c r="J149" s="75">
        <v>0.75</v>
      </c>
      <c r="K149" s="75">
        <v>3.5</v>
      </c>
      <c r="L149" s="75">
        <v>2</v>
      </c>
      <c r="M149" s="69">
        <f t="shared" si="517"/>
        <v>0.8</v>
      </c>
      <c r="N149" s="22">
        <f t="shared" si="515"/>
        <v>5.25</v>
      </c>
      <c r="O149" s="40">
        <f t="shared" si="516"/>
        <v>16.8</v>
      </c>
      <c r="P149" s="201" t="s">
        <v>289</v>
      </c>
    </row>
    <row r="150" spans="1:17" x14ac:dyDescent="0.2">
      <c r="A150" s="19" t="s">
        <v>290</v>
      </c>
      <c r="B150" s="28">
        <v>45947</v>
      </c>
      <c r="C150" s="28"/>
      <c r="D150" s="73">
        <v>52</v>
      </c>
      <c r="E150" s="73">
        <v>4</v>
      </c>
      <c r="F150" s="19"/>
      <c r="G150" s="19"/>
      <c r="H150" s="19">
        <v>30</v>
      </c>
      <c r="I150" s="19">
        <v>1</v>
      </c>
      <c r="J150" s="19">
        <f>3-J149</f>
        <v>2.25</v>
      </c>
      <c r="K150" s="19">
        <v>3.5</v>
      </c>
      <c r="L150" s="19">
        <v>2</v>
      </c>
      <c r="M150" s="69">
        <f t="shared" si="517"/>
        <v>0.37</v>
      </c>
      <c r="N150" s="22">
        <f t="shared" si="515"/>
        <v>15.75</v>
      </c>
      <c r="O150" s="40">
        <f t="shared" si="516"/>
        <v>23.31</v>
      </c>
      <c r="P150" s="188"/>
    </row>
    <row r="151" spans="1:17" ht="17" thickBot="1" x14ac:dyDescent="0.25">
      <c r="A151" s="88" t="s">
        <v>291</v>
      </c>
      <c r="B151" s="89">
        <v>45947</v>
      </c>
      <c r="C151" s="89"/>
      <c r="D151" s="73">
        <v>52</v>
      </c>
      <c r="E151" s="73">
        <v>4</v>
      </c>
      <c r="F151" s="88"/>
      <c r="G151" s="88"/>
      <c r="H151" s="88">
        <v>29</v>
      </c>
      <c r="I151" s="88">
        <v>9</v>
      </c>
      <c r="J151" s="88">
        <v>1.5</v>
      </c>
      <c r="K151" s="88">
        <v>3</v>
      </c>
      <c r="L151" s="88">
        <v>3</v>
      </c>
      <c r="M151" s="69">
        <f t="shared" si="517"/>
        <v>0.37</v>
      </c>
      <c r="N151" s="22">
        <f t="shared" si="515"/>
        <v>13.5</v>
      </c>
      <c r="O151" s="40">
        <f t="shared" si="516"/>
        <v>19.98</v>
      </c>
      <c r="P151" s="187"/>
    </row>
    <row r="152" spans="1:17" ht="17" thickBot="1" x14ac:dyDescent="0.25">
      <c r="A152" s="93" t="s">
        <v>292</v>
      </c>
      <c r="B152" s="91">
        <v>45947</v>
      </c>
      <c r="C152" s="91"/>
      <c r="D152" s="73">
        <v>52</v>
      </c>
      <c r="E152" s="73">
        <v>4</v>
      </c>
      <c r="F152" s="93" t="s">
        <v>70</v>
      </c>
      <c r="G152" s="93" t="s">
        <v>293</v>
      </c>
      <c r="H152" s="93">
        <v>0</v>
      </c>
      <c r="I152" s="93">
        <v>1</v>
      </c>
      <c r="J152" s="93">
        <v>1.5</v>
      </c>
      <c r="K152" s="93">
        <v>7</v>
      </c>
      <c r="L152" s="93">
        <v>7</v>
      </c>
      <c r="M152" s="69">
        <f t="shared" si="517"/>
        <v>0.37</v>
      </c>
      <c r="N152" s="22">
        <f t="shared" si="515"/>
        <v>73.5</v>
      </c>
      <c r="O152" s="40">
        <f t="shared" si="516"/>
        <v>108.78</v>
      </c>
      <c r="P152" s="109" t="s">
        <v>294</v>
      </c>
    </row>
    <row r="153" spans="1:17" ht="17" thickBot="1" x14ac:dyDescent="0.25">
      <c r="A153" s="90" t="s">
        <v>295</v>
      </c>
      <c r="B153" s="91">
        <v>45948</v>
      </c>
      <c r="C153" s="91"/>
      <c r="D153" s="73">
        <v>52</v>
      </c>
      <c r="E153" s="73">
        <v>4</v>
      </c>
      <c r="F153" s="93" t="s">
        <v>70</v>
      </c>
      <c r="G153" s="93" t="s">
        <v>296</v>
      </c>
      <c r="H153" s="93">
        <v>32</v>
      </c>
      <c r="I153" s="93">
        <v>4</v>
      </c>
      <c r="J153" s="93">
        <v>1</v>
      </c>
      <c r="K153" s="93">
        <v>3.5</v>
      </c>
      <c r="L153" s="93">
        <v>4</v>
      </c>
      <c r="M153" s="69">
        <f t="shared" si="517"/>
        <v>0.37</v>
      </c>
      <c r="N153" s="22">
        <f t="shared" si="515"/>
        <v>14</v>
      </c>
      <c r="O153" s="40">
        <f t="shared" si="516"/>
        <v>20.72</v>
      </c>
      <c r="P153" s="110"/>
    </row>
    <row r="154" spans="1:17" ht="17" thickBot="1" x14ac:dyDescent="0.25">
      <c r="A154" s="77" t="s">
        <v>297</v>
      </c>
      <c r="B154" s="72">
        <v>45948</v>
      </c>
      <c r="C154" s="72"/>
      <c r="D154" s="73">
        <v>52</v>
      </c>
      <c r="E154" s="73">
        <v>4</v>
      </c>
      <c r="F154" s="76" t="s">
        <v>70</v>
      </c>
      <c r="G154" s="76" t="s">
        <v>146</v>
      </c>
      <c r="H154" s="76">
        <v>0</v>
      </c>
      <c r="I154" s="76">
        <v>1</v>
      </c>
      <c r="J154" s="76">
        <v>1</v>
      </c>
      <c r="K154" s="76">
        <v>13.5</v>
      </c>
      <c r="L154" s="76">
        <v>4</v>
      </c>
      <c r="M154" s="69">
        <f t="shared" si="517"/>
        <v>0.37</v>
      </c>
      <c r="N154" s="22">
        <f t="shared" si="515"/>
        <v>54</v>
      </c>
      <c r="O154" s="40">
        <f t="shared" si="516"/>
        <v>79.92</v>
      </c>
      <c r="P154" s="111"/>
    </row>
    <row r="155" spans="1:17" ht="17" thickBot="1" x14ac:dyDescent="0.25">
      <c r="A155" s="90" t="s">
        <v>298</v>
      </c>
      <c r="B155" s="91">
        <v>45948</v>
      </c>
      <c r="C155" s="91"/>
      <c r="D155" s="73">
        <v>52</v>
      </c>
      <c r="E155" s="73">
        <v>4</v>
      </c>
      <c r="F155" s="93" t="s">
        <v>70</v>
      </c>
      <c r="G155" s="93" t="s">
        <v>299</v>
      </c>
      <c r="H155" s="93">
        <v>32</v>
      </c>
      <c r="I155" s="93">
        <v>4</v>
      </c>
      <c r="J155" s="93">
        <v>2</v>
      </c>
      <c r="K155" s="93">
        <v>3</v>
      </c>
      <c r="L155" s="93">
        <v>4</v>
      </c>
      <c r="M155" s="69">
        <f t="shared" si="517"/>
        <v>0.37</v>
      </c>
      <c r="N155" s="22">
        <f t="shared" si="515"/>
        <v>24</v>
      </c>
      <c r="O155" s="40">
        <f t="shared" si="516"/>
        <v>35.519999999999996</v>
      </c>
      <c r="P155" s="109" t="s">
        <v>300</v>
      </c>
    </row>
    <row r="156" spans="1:17" x14ac:dyDescent="0.2">
      <c r="A156" s="71" t="s">
        <v>301</v>
      </c>
      <c r="B156" s="28">
        <v>45959</v>
      </c>
      <c r="C156" s="28"/>
      <c r="D156" s="73">
        <v>52</v>
      </c>
      <c r="E156" s="73">
        <v>4</v>
      </c>
      <c r="F156" s="19" t="s">
        <v>70</v>
      </c>
      <c r="G156" s="21" t="s">
        <v>302</v>
      </c>
      <c r="H156" s="19">
        <v>32</v>
      </c>
      <c r="I156" s="19">
        <v>12</v>
      </c>
      <c r="J156" s="19">
        <v>0.75</v>
      </c>
      <c r="K156" s="19">
        <v>3</v>
      </c>
      <c r="L156" s="19">
        <v>5</v>
      </c>
      <c r="M156" s="69">
        <f t="shared" si="517"/>
        <v>0.8</v>
      </c>
      <c r="N156" s="22">
        <f t="shared" si="515"/>
        <v>11.25</v>
      </c>
      <c r="O156" s="40">
        <f t="shared" si="516"/>
        <v>36</v>
      </c>
      <c r="P156" s="25"/>
    </row>
    <row r="157" spans="1:17" x14ac:dyDescent="0.2">
      <c r="A157" s="19" t="s">
        <v>303</v>
      </c>
      <c r="B157" s="28">
        <v>45959</v>
      </c>
      <c r="C157" s="28"/>
      <c r="D157" s="73">
        <v>52</v>
      </c>
      <c r="E157" s="73">
        <v>4</v>
      </c>
      <c r="F157" s="8"/>
      <c r="G157" s="8"/>
      <c r="H157" s="19">
        <v>32</v>
      </c>
      <c r="I157" s="19">
        <v>4</v>
      </c>
      <c r="J157" s="19">
        <f>1.5-J156</f>
        <v>0.75</v>
      </c>
      <c r="K157" s="19">
        <v>3</v>
      </c>
      <c r="L157" s="19">
        <v>5</v>
      </c>
      <c r="M157" s="69">
        <f t="shared" si="517"/>
        <v>0.37</v>
      </c>
      <c r="N157" s="22">
        <f t="shared" si="515"/>
        <v>11.25</v>
      </c>
      <c r="O157" s="40">
        <f t="shared" si="516"/>
        <v>16.649999999999999</v>
      </c>
      <c r="P157" s="25"/>
    </row>
    <row r="158" spans="1:17" x14ac:dyDescent="0.2">
      <c r="A158" s="19" t="s">
        <v>304</v>
      </c>
      <c r="B158" s="28">
        <v>45959</v>
      </c>
      <c r="C158" s="28"/>
      <c r="D158" s="73">
        <v>52</v>
      </c>
      <c r="E158" s="73">
        <v>4</v>
      </c>
      <c r="F158" s="19" t="s">
        <v>70</v>
      </c>
      <c r="G158" s="21" t="s">
        <v>302</v>
      </c>
      <c r="H158" s="19">
        <v>32</v>
      </c>
      <c r="I158" s="19">
        <v>10</v>
      </c>
      <c r="J158" s="19">
        <v>1</v>
      </c>
      <c r="K158" s="19">
        <v>3</v>
      </c>
      <c r="L158" s="19">
        <v>2</v>
      </c>
      <c r="M158" s="69">
        <f t="shared" si="517"/>
        <v>0.37</v>
      </c>
      <c r="N158" s="22">
        <f t="shared" si="515"/>
        <v>6</v>
      </c>
      <c r="O158" s="40">
        <f t="shared" si="516"/>
        <v>8.879999999999999</v>
      </c>
      <c r="P158" s="70" t="s">
        <v>305</v>
      </c>
    </row>
    <row r="159" spans="1:17" ht="17" thickBot="1" x14ac:dyDescent="0.25">
      <c r="A159" s="88" t="s">
        <v>306</v>
      </c>
      <c r="B159" s="89">
        <v>45960</v>
      </c>
      <c r="C159" s="89"/>
      <c r="D159" s="73">
        <v>52</v>
      </c>
      <c r="E159" s="73">
        <v>4</v>
      </c>
      <c r="F159" s="88" t="s">
        <v>70</v>
      </c>
      <c r="G159" s="88" t="s">
        <v>204</v>
      </c>
      <c r="H159" s="98">
        <v>30</v>
      </c>
      <c r="I159" s="98">
        <v>10</v>
      </c>
      <c r="J159" s="102">
        <v>1</v>
      </c>
      <c r="K159" s="88">
        <v>7</v>
      </c>
      <c r="L159" s="102">
        <v>2</v>
      </c>
      <c r="M159" s="69">
        <f t="shared" si="517"/>
        <v>0.37</v>
      </c>
      <c r="N159" s="22">
        <f t="shared" si="515"/>
        <v>14</v>
      </c>
      <c r="O159" s="40">
        <f t="shared" si="516"/>
        <v>20.72</v>
      </c>
      <c r="P159" s="112" t="s">
        <v>307</v>
      </c>
    </row>
    <row r="160" spans="1:17" x14ac:dyDescent="0.2">
      <c r="A160" s="115" t="s">
        <v>310</v>
      </c>
      <c r="B160" s="106">
        <v>45962</v>
      </c>
      <c r="C160" s="106"/>
      <c r="D160" s="73">
        <v>52</v>
      </c>
      <c r="E160" s="73">
        <v>4</v>
      </c>
      <c r="F160" s="105" t="s">
        <v>70</v>
      </c>
      <c r="G160" s="105" t="s">
        <v>309</v>
      </c>
      <c r="H160" s="107">
        <v>0</v>
      </c>
      <c r="I160" s="107">
        <v>12</v>
      </c>
      <c r="J160" s="108">
        <v>0.75</v>
      </c>
      <c r="K160" s="105">
        <v>2.5</v>
      </c>
      <c r="L160" s="108">
        <v>17</v>
      </c>
      <c r="M160" s="69">
        <f t="shared" si="517"/>
        <v>0.8</v>
      </c>
      <c r="N160" s="22">
        <f t="shared" ref="N160:N169" si="518">J160*K160*L160</f>
        <v>31.875</v>
      </c>
      <c r="O160" s="40">
        <f t="shared" ref="O160:O169" si="519">N160*M160*E160</f>
        <v>102</v>
      </c>
      <c r="P160" s="194" t="s">
        <v>418</v>
      </c>
    </row>
    <row r="161" spans="1:16" x14ac:dyDescent="0.2">
      <c r="A161" s="19" t="s">
        <v>311</v>
      </c>
      <c r="B161" s="28">
        <v>45962</v>
      </c>
      <c r="C161" s="28"/>
      <c r="D161" s="73">
        <v>52</v>
      </c>
      <c r="E161" s="73">
        <v>4</v>
      </c>
      <c r="F161" s="19"/>
      <c r="G161" s="19"/>
      <c r="H161" s="19">
        <v>0</v>
      </c>
      <c r="I161" s="19">
        <v>1</v>
      </c>
      <c r="J161" s="19">
        <f>3-J160</f>
        <v>2.25</v>
      </c>
      <c r="K161" s="19">
        <v>2.5</v>
      </c>
      <c r="L161" s="23">
        <v>17</v>
      </c>
      <c r="M161" s="69">
        <f t="shared" si="517"/>
        <v>0.37</v>
      </c>
      <c r="N161" s="22">
        <f t="shared" si="518"/>
        <v>95.625</v>
      </c>
      <c r="O161" s="40">
        <f t="shared" si="519"/>
        <v>141.52500000000001</v>
      </c>
      <c r="P161" s="204"/>
    </row>
    <row r="162" spans="1:16" ht="17" thickBot="1" x14ac:dyDescent="0.25">
      <c r="A162" s="88" t="s">
        <v>312</v>
      </c>
      <c r="B162" s="89">
        <v>45962</v>
      </c>
      <c r="C162" s="89"/>
      <c r="D162" s="73">
        <v>52</v>
      </c>
      <c r="E162" s="73">
        <v>4</v>
      </c>
      <c r="F162" s="88"/>
      <c r="G162" s="88"/>
      <c r="H162" s="88">
        <v>14</v>
      </c>
      <c r="I162" s="88">
        <v>8</v>
      </c>
      <c r="J162" s="88">
        <v>1</v>
      </c>
      <c r="K162" s="88">
        <v>2.5</v>
      </c>
      <c r="L162" s="88">
        <v>3</v>
      </c>
      <c r="M162" s="69">
        <f t="shared" si="517"/>
        <v>0.37</v>
      </c>
      <c r="N162" s="22">
        <f t="shared" si="518"/>
        <v>7.5</v>
      </c>
      <c r="O162" s="40">
        <f t="shared" si="519"/>
        <v>11.1</v>
      </c>
      <c r="P162" s="195"/>
    </row>
    <row r="163" spans="1:16" ht="17" thickBot="1" x14ac:dyDescent="0.25">
      <c r="A163" s="93" t="s">
        <v>313</v>
      </c>
      <c r="B163" s="91">
        <v>45962</v>
      </c>
      <c r="C163" s="91"/>
      <c r="D163" s="73">
        <v>52</v>
      </c>
      <c r="E163" s="73">
        <v>4</v>
      </c>
      <c r="F163" s="93" t="s">
        <v>70</v>
      </c>
      <c r="G163" s="93" t="s">
        <v>146</v>
      </c>
      <c r="H163" s="93">
        <v>30</v>
      </c>
      <c r="I163" s="93">
        <v>10</v>
      </c>
      <c r="J163" s="93">
        <v>1</v>
      </c>
      <c r="K163" s="93">
        <v>2.5</v>
      </c>
      <c r="L163" s="93">
        <v>2</v>
      </c>
      <c r="M163" s="69">
        <f t="shared" si="517"/>
        <v>0.37</v>
      </c>
      <c r="N163" s="22">
        <f t="shared" si="518"/>
        <v>5</v>
      </c>
      <c r="O163" s="40">
        <f t="shared" si="519"/>
        <v>7.4</v>
      </c>
      <c r="P163" s="122" t="s">
        <v>314</v>
      </c>
    </row>
    <row r="164" spans="1:16" ht="17" thickBot="1" x14ac:dyDescent="0.25">
      <c r="A164" s="90" t="s">
        <v>315</v>
      </c>
      <c r="B164" s="91">
        <v>45967</v>
      </c>
      <c r="C164" s="91"/>
      <c r="D164" s="73">
        <v>52</v>
      </c>
      <c r="E164" s="73">
        <v>4</v>
      </c>
      <c r="F164" s="93" t="s">
        <v>70</v>
      </c>
      <c r="G164" s="93" t="s">
        <v>316</v>
      </c>
      <c r="H164" s="93">
        <v>0</v>
      </c>
      <c r="I164" s="93">
        <v>1</v>
      </c>
      <c r="J164" s="93">
        <v>1.5</v>
      </c>
      <c r="K164" s="93">
        <v>1.5</v>
      </c>
      <c r="L164" s="93">
        <v>2</v>
      </c>
      <c r="M164" s="69">
        <f t="shared" si="517"/>
        <v>0.37</v>
      </c>
      <c r="N164" s="22">
        <f t="shared" si="518"/>
        <v>4.5</v>
      </c>
      <c r="O164" s="40">
        <f t="shared" si="519"/>
        <v>6.66</v>
      </c>
      <c r="P164" s="101"/>
    </row>
    <row r="165" spans="1:16" ht="17" thickBot="1" x14ac:dyDescent="0.25">
      <c r="A165" s="90" t="s">
        <v>317</v>
      </c>
      <c r="B165" s="91">
        <v>45967</v>
      </c>
      <c r="C165" s="91"/>
      <c r="D165" s="73">
        <v>52</v>
      </c>
      <c r="E165" s="73">
        <v>4</v>
      </c>
      <c r="F165" s="93" t="s">
        <v>70</v>
      </c>
      <c r="G165" s="93" t="s">
        <v>318</v>
      </c>
      <c r="H165" s="93">
        <v>0</v>
      </c>
      <c r="I165" s="93">
        <v>1</v>
      </c>
      <c r="J165" s="93">
        <v>2.5</v>
      </c>
      <c r="K165" s="93">
        <v>2.5</v>
      </c>
      <c r="L165" s="93">
        <v>4</v>
      </c>
      <c r="M165" s="69">
        <f t="shared" si="517"/>
        <v>0.37</v>
      </c>
      <c r="N165" s="22">
        <f t="shared" si="518"/>
        <v>25</v>
      </c>
      <c r="O165" s="40">
        <f t="shared" si="519"/>
        <v>37</v>
      </c>
      <c r="P165" s="103" t="s">
        <v>423</v>
      </c>
    </row>
    <row r="166" spans="1:16" ht="17" thickBot="1" x14ac:dyDescent="0.25">
      <c r="A166" s="93" t="s">
        <v>319</v>
      </c>
      <c r="B166" s="91">
        <v>45967</v>
      </c>
      <c r="C166" s="91"/>
      <c r="D166" s="73">
        <v>52</v>
      </c>
      <c r="E166" s="73">
        <v>4</v>
      </c>
      <c r="F166" s="93" t="s">
        <v>70</v>
      </c>
      <c r="G166" s="93" t="s">
        <v>320</v>
      </c>
      <c r="H166" s="93">
        <v>30</v>
      </c>
      <c r="I166" s="93">
        <v>4</v>
      </c>
      <c r="J166" s="93">
        <v>1</v>
      </c>
      <c r="K166" s="93">
        <v>8</v>
      </c>
      <c r="L166" s="93">
        <v>2</v>
      </c>
      <c r="M166" s="69">
        <f t="shared" si="517"/>
        <v>0.37</v>
      </c>
      <c r="N166" s="22">
        <f t="shared" si="518"/>
        <v>16</v>
      </c>
      <c r="O166" s="40">
        <f t="shared" si="519"/>
        <v>23.68</v>
      </c>
      <c r="P166" s="103" t="s">
        <v>321</v>
      </c>
    </row>
    <row r="167" spans="1:16" ht="17" thickBot="1" x14ac:dyDescent="0.25">
      <c r="A167" s="93" t="s">
        <v>322</v>
      </c>
      <c r="B167" s="91">
        <v>45968</v>
      </c>
      <c r="C167" s="91"/>
      <c r="D167" s="73">
        <v>52</v>
      </c>
      <c r="E167" s="73">
        <v>4</v>
      </c>
      <c r="F167" s="93" t="s">
        <v>70</v>
      </c>
      <c r="G167" s="113" t="s">
        <v>302</v>
      </c>
      <c r="H167" s="93">
        <v>30</v>
      </c>
      <c r="I167" s="93">
        <v>10</v>
      </c>
      <c r="J167" s="93">
        <v>1</v>
      </c>
      <c r="K167" s="93">
        <v>3</v>
      </c>
      <c r="L167" s="93">
        <v>4</v>
      </c>
      <c r="M167" s="69">
        <f t="shared" si="517"/>
        <v>0.37</v>
      </c>
      <c r="N167" s="22">
        <f t="shared" si="518"/>
        <v>12</v>
      </c>
      <c r="O167" s="40">
        <f t="shared" si="519"/>
        <v>17.759999999999998</v>
      </c>
      <c r="P167" s="103" t="s">
        <v>305</v>
      </c>
    </row>
    <row r="168" spans="1:16" ht="17" thickBot="1" x14ac:dyDescent="0.25">
      <c r="A168" s="90" t="s">
        <v>323</v>
      </c>
      <c r="B168" s="91">
        <v>45969</v>
      </c>
      <c r="C168" s="91"/>
      <c r="D168" s="73">
        <v>52</v>
      </c>
      <c r="E168" s="73">
        <v>4</v>
      </c>
      <c r="F168" s="93" t="s">
        <v>70</v>
      </c>
      <c r="G168" s="92" t="s">
        <v>324</v>
      </c>
      <c r="H168" s="92">
        <v>32</v>
      </c>
      <c r="I168" s="92">
        <v>4</v>
      </c>
      <c r="J168" s="93">
        <v>1</v>
      </c>
      <c r="K168" s="93">
        <v>1.5</v>
      </c>
      <c r="L168" s="93">
        <v>2</v>
      </c>
      <c r="M168" s="69">
        <f t="shared" si="517"/>
        <v>0.37</v>
      </c>
      <c r="N168" s="22">
        <f t="shared" si="518"/>
        <v>3</v>
      </c>
      <c r="O168" s="40">
        <f t="shared" si="519"/>
        <v>4.4399999999999995</v>
      </c>
      <c r="P168" s="103" t="s">
        <v>336</v>
      </c>
    </row>
    <row r="169" spans="1:16" ht="17" thickBot="1" x14ac:dyDescent="0.25">
      <c r="A169" s="93" t="s">
        <v>325</v>
      </c>
      <c r="B169" s="91">
        <v>45969</v>
      </c>
      <c r="C169" s="91"/>
      <c r="D169" s="73">
        <v>52</v>
      </c>
      <c r="E169" s="73">
        <v>4</v>
      </c>
      <c r="F169" s="93" t="s">
        <v>70</v>
      </c>
      <c r="G169" s="93" t="s">
        <v>100</v>
      </c>
      <c r="H169" s="92">
        <v>0</v>
      </c>
      <c r="I169" s="92">
        <v>7</v>
      </c>
      <c r="J169" s="93">
        <v>1</v>
      </c>
      <c r="K169" s="93">
        <v>13</v>
      </c>
      <c r="L169" s="93">
        <v>1</v>
      </c>
      <c r="M169" s="69">
        <f t="shared" si="517"/>
        <v>0.37</v>
      </c>
      <c r="N169" s="22">
        <f t="shared" si="518"/>
        <v>13</v>
      </c>
      <c r="O169" s="40">
        <f t="shared" si="519"/>
        <v>19.239999999999998</v>
      </c>
      <c r="P169" s="103" t="s">
        <v>134</v>
      </c>
    </row>
    <row r="170" spans="1:16" x14ac:dyDescent="0.2">
      <c r="A170" s="77" t="s">
        <v>381</v>
      </c>
      <c r="B170" s="72">
        <v>45971</v>
      </c>
      <c r="C170" s="72"/>
      <c r="D170" s="73">
        <v>52</v>
      </c>
      <c r="E170" s="73">
        <v>3</v>
      </c>
      <c r="F170" s="76" t="s">
        <v>70</v>
      </c>
      <c r="G170" s="76" t="s">
        <v>382</v>
      </c>
      <c r="H170" s="73">
        <v>0</v>
      </c>
      <c r="I170" s="73">
        <v>1</v>
      </c>
      <c r="J170" s="96">
        <v>2</v>
      </c>
      <c r="K170" s="76">
        <v>3</v>
      </c>
      <c r="L170" s="96">
        <v>3</v>
      </c>
      <c r="M170" s="69">
        <f t="shared" si="517"/>
        <v>0.37</v>
      </c>
      <c r="N170" s="22">
        <f t="shared" ref="N170:N194" si="520">J170*K170*L170</f>
        <v>18</v>
      </c>
      <c r="O170" s="40">
        <f t="shared" ref="O170:O194" si="521">N170*M170*E170</f>
        <v>19.98</v>
      </c>
      <c r="P170" s="130"/>
    </row>
    <row r="171" spans="1:16" ht="17" thickBot="1" x14ac:dyDescent="0.25">
      <c r="A171" s="88" t="s">
        <v>383</v>
      </c>
      <c r="B171" s="89">
        <v>45972</v>
      </c>
      <c r="C171" s="89"/>
      <c r="D171" s="73">
        <v>52</v>
      </c>
      <c r="E171" s="73">
        <v>3</v>
      </c>
      <c r="F171" s="88" t="s">
        <v>70</v>
      </c>
      <c r="G171" s="88" t="s">
        <v>382</v>
      </c>
      <c r="H171" s="98">
        <v>0</v>
      </c>
      <c r="I171" s="98">
        <v>1</v>
      </c>
      <c r="J171" s="102">
        <v>1.5</v>
      </c>
      <c r="K171" s="88">
        <v>1.5</v>
      </c>
      <c r="L171" s="102">
        <v>2</v>
      </c>
      <c r="M171" s="69">
        <f t="shared" si="517"/>
        <v>0.37</v>
      </c>
      <c r="N171" s="22">
        <f t="shared" si="520"/>
        <v>4.5</v>
      </c>
      <c r="O171" s="40">
        <f t="shared" si="521"/>
        <v>4.9950000000000001</v>
      </c>
      <c r="P171" s="125"/>
    </row>
    <row r="172" spans="1:16" ht="17" thickBot="1" x14ac:dyDescent="0.25">
      <c r="A172" s="93" t="s">
        <v>384</v>
      </c>
      <c r="B172" s="91">
        <v>45972</v>
      </c>
      <c r="C172" s="91"/>
      <c r="D172" s="73">
        <v>52</v>
      </c>
      <c r="E172" s="73">
        <v>3</v>
      </c>
      <c r="F172" s="93" t="s">
        <v>70</v>
      </c>
      <c r="G172" s="93" t="s">
        <v>249</v>
      </c>
      <c r="H172" s="113">
        <v>28</v>
      </c>
      <c r="I172" s="93">
        <v>3</v>
      </c>
      <c r="J172" s="114">
        <v>1.5</v>
      </c>
      <c r="K172" s="93">
        <v>2.5</v>
      </c>
      <c r="L172" s="114">
        <v>4</v>
      </c>
      <c r="M172" s="69">
        <f t="shared" si="517"/>
        <v>0.37</v>
      </c>
      <c r="N172" s="22">
        <f t="shared" si="520"/>
        <v>15</v>
      </c>
      <c r="O172" s="40">
        <f t="shared" si="521"/>
        <v>16.649999999999999</v>
      </c>
      <c r="P172" s="103" t="s">
        <v>385</v>
      </c>
    </row>
    <row r="173" spans="1:16" x14ac:dyDescent="0.2">
      <c r="A173" s="105" t="s">
        <v>386</v>
      </c>
      <c r="B173" s="106">
        <v>45972</v>
      </c>
      <c r="C173" s="106"/>
      <c r="D173" s="73">
        <v>52</v>
      </c>
      <c r="E173" s="73">
        <v>3</v>
      </c>
      <c r="F173" s="105" t="s">
        <v>70</v>
      </c>
      <c r="G173" s="105" t="s">
        <v>285</v>
      </c>
      <c r="H173" s="105">
        <v>10</v>
      </c>
      <c r="I173" s="105">
        <v>8</v>
      </c>
      <c r="J173" s="105">
        <v>1</v>
      </c>
      <c r="K173" s="105">
        <v>2</v>
      </c>
      <c r="L173" s="105">
        <v>4</v>
      </c>
      <c r="M173" s="69">
        <f t="shared" si="517"/>
        <v>0.37</v>
      </c>
      <c r="N173" s="22">
        <f t="shared" si="520"/>
        <v>8</v>
      </c>
      <c r="O173" s="40">
        <f t="shared" si="521"/>
        <v>8.879999999999999</v>
      </c>
      <c r="P173" s="194" t="s">
        <v>377</v>
      </c>
    </row>
    <row r="174" spans="1:16" ht="17" thickBot="1" x14ac:dyDescent="0.25">
      <c r="A174" s="88" t="s">
        <v>387</v>
      </c>
      <c r="B174" s="89">
        <v>45972</v>
      </c>
      <c r="C174" s="89"/>
      <c r="D174" s="73">
        <v>52</v>
      </c>
      <c r="E174" s="73">
        <v>3</v>
      </c>
      <c r="F174" s="88"/>
      <c r="G174" s="88"/>
      <c r="H174" s="88">
        <v>16</v>
      </c>
      <c r="I174" s="88">
        <v>8</v>
      </c>
      <c r="J174" s="88">
        <v>1</v>
      </c>
      <c r="K174" s="88">
        <v>2</v>
      </c>
      <c r="L174" s="88">
        <v>7</v>
      </c>
      <c r="M174" s="69">
        <f t="shared" si="517"/>
        <v>0.37</v>
      </c>
      <c r="N174" s="22">
        <f t="shared" si="520"/>
        <v>14</v>
      </c>
      <c r="O174" s="40">
        <f t="shared" si="521"/>
        <v>15.54</v>
      </c>
      <c r="P174" s="195"/>
    </row>
    <row r="175" spans="1:16" x14ac:dyDescent="0.2">
      <c r="A175" s="115" t="s">
        <v>388</v>
      </c>
      <c r="B175" s="106">
        <v>45973</v>
      </c>
      <c r="C175" s="106"/>
      <c r="D175" s="73">
        <v>52</v>
      </c>
      <c r="E175" s="73">
        <v>3</v>
      </c>
      <c r="F175" s="105" t="s">
        <v>70</v>
      </c>
      <c r="G175" s="105" t="s">
        <v>318</v>
      </c>
      <c r="H175" s="105">
        <v>0</v>
      </c>
      <c r="I175" s="105">
        <v>1</v>
      </c>
      <c r="J175" s="105">
        <v>1.5</v>
      </c>
      <c r="K175" s="105">
        <v>3</v>
      </c>
      <c r="L175" s="105">
        <v>8</v>
      </c>
      <c r="M175" s="69">
        <f t="shared" si="517"/>
        <v>0.37</v>
      </c>
      <c r="N175" s="22">
        <f t="shared" si="520"/>
        <v>36</v>
      </c>
      <c r="O175" s="40">
        <f t="shared" si="521"/>
        <v>39.96</v>
      </c>
      <c r="P175" s="194"/>
    </row>
    <row r="176" spans="1:16" x14ac:dyDescent="0.2">
      <c r="A176" s="76" t="s">
        <v>389</v>
      </c>
      <c r="B176" s="72">
        <v>45973</v>
      </c>
      <c r="C176" s="72"/>
      <c r="D176" s="73">
        <v>52</v>
      </c>
      <c r="E176" s="73">
        <v>3</v>
      </c>
      <c r="F176" s="76"/>
      <c r="G176" s="76"/>
      <c r="H176" s="19">
        <v>0</v>
      </c>
      <c r="I176" s="19">
        <v>1</v>
      </c>
      <c r="J176" s="19">
        <v>2</v>
      </c>
      <c r="K176" s="19">
        <v>3</v>
      </c>
      <c r="L176" s="19">
        <v>6</v>
      </c>
      <c r="M176" s="69">
        <f t="shared" si="517"/>
        <v>0.37</v>
      </c>
      <c r="N176" s="22">
        <f t="shared" si="520"/>
        <v>36</v>
      </c>
      <c r="O176" s="40">
        <f t="shared" si="521"/>
        <v>39.96</v>
      </c>
      <c r="P176" s="200"/>
    </row>
    <row r="177" spans="1:16" ht="17" thickBot="1" x14ac:dyDescent="0.25">
      <c r="A177" s="97" t="s">
        <v>390</v>
      </c>
      <c r="B177" s="100">
        <v>45973</v>
      </c>
      <c r="C177" s="100"/>
      <c r="D177" s="73">
        <v>52</v>
      </c>
      <c r="E177" s="73">
        <v>3</v>
      </c>
      <c r="F177" s="88"/>
      <c r="G177" s="88"/>
      <c r="H177" s="88">
        <v>0</v>
      </c>
      <c r="I177" s="88">
        <v>7</v>
      </c>
      <c r="J177" s="88">
        <v>1</v>
      </c>
      <c r="K177" s="88">
        <v>1.5</v>
      </c>
      <c r="L177" s="88">
        <v>3</v>
      </c>
      <c r="M177" s="69">
        <f t="shared" si="517"/>
        <v>0.37</v>
      </c>
      <c r="N177" s="22">
        <f t="shared" si="520"/>
        <v>4.5</v>
      </c>
      <c r="O177" s="40">
        <f t="shared" si="521"/>
        <v>4.9950000000000001</v>
      </c>
      <c r="P177" s="215"/>
    </row>
    <row r="178" spans="1:16" ht="17" thickBot="1" x14ac:dyDescent="0.25">
      <c r="A178" s="93" t="s">
        <v>391</v>
      </c>
      <c r="B178" s="91">
        <v>45974</v>
      </c>
      <c r="C178" s="91"/>
      <c r="D178" s="73">
        <v>52</v>
      </c>
      <c r="E178" s="73">
        <v>3</v>
      </c>
      <c r="F178" s="93"/>
      <c r="G178" s="93"/>
      <c r="H178" s="93">
        <v>0</v>
      </c>
      <c r="I178" s="93">
        <v>1</v>
      </c>
      <c r="J178" s="93">
        <v>1.5</v>
      </c>
      <c r="K178" s="93">
        <v>2.5</v>
      </c>
      <c r="L178" s="93">
        <v>3</v>
      </c>
      <c r="M178" s="69">
        <f t="shared" si="517"/>
        <v>0.37</v>
      </c>
      <c r="N178" s="22">
        <f t="shared" si="520"/>
        <v>11.25</v>
      </c>
      <c r="O178" s="40">
        <f t="shared" si="521"/>
        <v>12.487499999999999</v>
      </c>
      <c r="P178" s="103" t="s">
        <v>392</v>
      </c>
    </row>
    <row r="179" spans="1:16" ht="17" thickBot="1" x14ac:dyDescent="0.25">
      <c r="A179" s="93" t="s">
        <v>393</v>
      </c>
      <c r="B179" s="91">
        <v>45975</v>
      </c>
      <c r="C179" s="91"/>
      <c r="D179" s="73">
        <v>52</v>
      </c>
      <c r="E179" s="73">
        <v>3</v>
      </c>
      <c r="F179" s="93" t="s">
        <v>70</v>
      </c>
      <c r="G179" s="93" t="s">
        <v>394</v>
      </c>
      <c r="H179" s="93">
        <v>32</v>
      </c>
      <c r="I179" s="93">
        <v>4</v>
      </c>
      <c r="J179" s="93">
        <v>2.5</v>
      </c>
      <c r="K179" s="93">
        <v>3</v>
      </c>
      <c r="L179" s="93">
        <v>2</v>
      </c>
      <c r="M179" s="69">
        <f t="shared" si="517"/>
        <v>0.37</v>
      </c>
      <c r="N179" s="22">
        <f t="shared" si="520"/>
        <v>15</v>
      </c>
      <c r="O179" s="40">
        <f t="shared" si="521"/>
        <v>16.649999999999999</v>
      </c>
      <c r="P179" s="101"/>
    </row>
    <row r="180" spans="1:16" ht="17" thickBot="1" x14ac:dyDescent="0.25">
      <c r="A180" s="93" t="s">
        <v>395</v>
      </c>
      <c r="B180" s="91">
        <v>45976</v>
      </c>
      <c r="C180" s="91"/>
      <c r="D180" s="73">
        <v>52</v>
      </c>
      <c r="E180" s="73">
        <v>3</v>
      </c>
      <c r="F180" s="93" t="s">
        <v>70</v>
      </c>
      <c r="G180" s="93" t="s">
        <v>285</v>
      </c>
      <c r="H180" s="93">
        <v>0</v>
      </c>
      <c r="I180" s="93">
        <v>1</v>
      </c>
      <c r="J180" s="93">
        <v>2.5</v>
      </c>
      <c r="K180" s="93">
        <v>5.5</v>
      </c>
      <c r="L180" s="93">
        <v>4</v>
      </c>
      <c r="M180" s="69">
        <f t="shared" si="517"/>
        <v>0.37</v>
      </c>
      <c r="N180" s="22">
        <f t="shared" si="520"/>
        <v>55</v>
      </c>
      <c r="O180" s="40">
        <f t="shared" si="521"/>
        <v>61.050000000000004</v>
      </c>
      <c r="P180" s="103" t="s">
        <v>377</v>
      </c>
    </row>
    <row r="181" spans="1:16" x14ac:dyDescent="0.2">
      <c r="A181" s="76" t="s">
        <v>431</v>
      </c>
      <c r="B181" s="72">
        <v>45978</v>
      </c>
      <c r="C181" s="72"/>
      <c r="D181" s="73">
        <v>52</v>
      </c>
      <c r="E181" s="73">
        <v>2</v>
      </c>
      <c r="F181" s="76" t="s">
        <v>70</v>
      </c>
      <c r="G181" s="76" t="s">
        <v>309</v>
      </c>
      <c r="H181" s="76">
        <v>17</v>
      </c>
      <c r="I181" s="76">
        <v>12</v>
      </c>
      <c r="J181" s="76">
        <v>0.75</v>
      </c>
      <c r="K181" s="76">
        <v>2.5</v>
      </c>
      <c r="L181" s="76">
        <v>15</v>
      </c>
      <c r="M181" s="78">
        <f t="shared" si="517"/>
        <v>0.8</v>
      </c>
      <c r="N181" s="79">
        <f t="shared" si="520"/>
        <v>28.125</v>
      </c>
      <c r="O181" s="78">
        <f t="shared" si="521"/>
        <v>45</v>
      </c>
      <c r="P181" s="184" t="s">
        <v>432</v>
      </c>
    </row>
    <row r="182" spans="1:16" ht="17" thickBot="1" x14ac:dyDescent="0.25">
      <c r="A182" s="88" t="s">
        <v>433</v>
      </c>
      <c r="B182" s="89">
        <v>45978</v>
      </c>
      <c r="C182" s="89"/>
      <c r="D182" s="73">
        <v>52</v>
      </c>
      <c r="E182" s="73">
        <v>2</v>
      </c>
      <c r="F182" s="88"/>
      <c r="G182" s="88"/>
      <c r="H182" s="88">
        <v>17</v>
      </c>
      <c r="I182" s="88">
        <v>2</v>
      </c>
      <c r="J182" s="88">
        <f>3-J181</f>
        <v>2.25</v>
      </c>
      <c r="K182" s="88">
        <v>2.5</v>
      </c>
      <c r="L182" s="88">
        <v>15</v>
      </c>
      <c r="M182" s="118">
        <f t="shared" si="517"/>
        <v>0.37</v>
      </c>
      <c r="N182" s="119">
        <f t="shared" si="520"/>
        <v>84.375</v>
      </c>
      <c r="O182" s="118">
        <f t="shared" si="521"/>
        <v>62.4375</v>
      </c>
      <c r="P182" s="185"/>
    </row>
    <row r="183" spans="1:16" x14ac:dyDescent="0.2">
      <c r="A183" s="19" t="s">
        <v>434</v>
      </c>
      <c r="B183" s="72">
        <v>45978</v>
      </c>
      <c r="C183" s="72"/>
      <c r="D183" s="73">
        <v>52</v>
      </c>
      <c r="E183" s="73">
        <v>2</v>
      </c>
      <c r="F183" s="76" t="s">
        <v>70</v>
      </c>
      <c r="G183" s="76" t="s">
        <v>435</v>
      </c>
      <c r="H183" s="76">
        <v>0</v>
      </c>
      <c r="I183" s="76">
        <v>12</v>
      </c>
      <c r="J183" s="76">
        <v>0.75</v>
      </c>
      <c r="K183" s="76">
        <v>3</v>
      </c>
      <c r="L183" s="76">
        <v>32</v>
      </c>
      <c r="M183" s="78">
        <f t="shared" si="517"/>
        <v>0.8</v>
      </c>
      <c r="N183" s="79">
        <f t="shared" si="520"/>
        <v>72</v>
      </c>
      <c r="O183" s="78">
        <f t="shared" si="521"/>
        <v>115.2</v>
      </c>
      <c r="P183" s="184" t="s">
        <v>436</v>
      </c>
    </row>
    <row r="184" spans="1:16" ht="17" thickBot="1" x14ac:dyDescent="0.25">
      <c r="A184" s="88" t="s">
        <v>437</v>
      </c>
      <c r="B184" s="89">
        <v>45978</v>
      </c>
      <c r="C184" s="89"/>
      <c r="D184" s="73">
        <v>52</v>
      </c>
      <c r="E184" s="73">
        <v>2</v>
      </c>
      <c r="F184" s="88"/>
      <c r="G184" s="88"/>
      <c r="H184" s="88">
        <v>0</v>
      </c>
      <c r="I184" s="88">
        <v>1</v>
      </c>
      <c r="J184" s="88">
        <f>2-J183</f>
        <v>1.25</v>
      </c>
      <c r="K184" s="88">
        <v>3</v>
      </c>
      <c r="L184" s="88">
        <v>32</v>
      </c>
      <c r="M184" s="118">
        <f t="shared" si="517"/>
        <v>0.37</v>
      </c>
      <c r="N184" s="119">
        <f t="shared" si="520"/>
        <v>120</v>
      </c>
      <c r="O184" s="118">
        <f t="shared" si="521"/>
        <v>88.8</v>
      </c>
      <c r="P184" s="214"/>
    </row>
    <row r="185" spans="1:16" ht="17" thickBot="1" x14ac:dyDescent="0.25">
      <c r="A185" s="93" t="s">
        <v>438</v>
      </c>
      <c r="B185" s="91">
        <v>45675</v>
      </c>
      <c r="C185" s="91"/>
      <c r="D185" s="73">
        <v>52</v>
      </c>
      <c r="E185" s="73">
        <v>2</v>
      </c>
      <c r="F185" s="93" t="s">
        <v>70</v>
      </c>
      <c r="G185" s="93" t="s">
        <v>349</v>
      </c>
      <c r="H185" s="93">
        <v>0</v>
      </c>
      <c r="I185" s="93">
        <v>1</v>
      </c>
      <c r="J185" s="93">
        <v>4.5</v>
      </c>
      <c r="K185" s="93">
        <v>7</v>
      </c>
      <c r="L185" s="93">
        <v>3</v>
      </c>
      <c r="M185" s="120">
        <f t="shared" si="517"/>
        <v>0.37</v>
      </c>
      <c r="N185" s="121">
        <f t="shared" si="520"/>
        <v>94.5</v>
      </c>
      <c r="O185" s="120">
        <f t="shared" si="521"/>
        <v>69.929999999999993</v>
      </c>
      <c r="P185" s="143" t="s">
        <v>439</v>
      </c>
    </row>
    <row r="186" spans="1:16" ht="17" thickBot="1" x14ac:dyDescent="0.25">
      <c r="A186" s="90" t="s">
        <v>407</v>
      </c>
      <c r="B186" s="91">
        <v>45676</v>
      </c>
      <c r="C186" s="91"/>
      <c r="D186" s="73">
        <v>52</v>
      </c>
      <c r="E186" s="73">
        <v>2</v>
      </c>
      <c r="F186" s="93" t="s">
        <v>70</v>
      </c>
      <c r="G186" s="93" t="s">
        <v>440</v>
      </c>
      <c r="H186" s="93">
        <v>0</v>
      </c>
      <c r="I186" s="93">
        <v>1</v>
      </c>
      <c r="J186" s="93">
        <v>1.5</v>
      </c>
      <c r="K186" s="93">
        <v>2</v>
      </c>
      <c r="L186" s="93">
        <v>3</v>
      </c>
      <c r="M186" s="120">
        <f t="shared" si="517"/>
        <v>0.37</v>
      </c>
      <c r="N186" s="121">
        <f t="shared" si="520"/>
        <v>9</v>
      </c>
      <c r="O186" s="134">
        <f t="shared" si="521"/>
        <v>6.66</v>
      </c>
      <c r="P186" s="144"/>
    </row>
    <row r="187" spans="1:16" x14ac:dyDescent="0.2">
      <c r="A187" s="76" t="s">
        <v>441</v>
      </c>
      <c r="B187" s="72">
        <v>45981</v>
      </c>
      <c r="C187" s="72"/>
      <c r="D187" s="73">
        <v>52</v>
      </c>
      <c r="E187" s="73">
        <v>2</v>
      </c>
      <c r="F187" s="19" t="s">
        <v>70</v>
      </c>
      <c r="G187" s="76" t="s">
        <v>268</v>
      </c>
      <c r="H187" s="76">
        <v>32</v>
      </c>
      <c r="I187" s="76">
        <v>4</v>
      </c>
      <c r="J187" s="76">
        <v>1.5</v>
      </c>
      <c r="K187" s="76">
        <v>5</v>
      </c>
      <c r="L187" s="76">
        <v>6</v>
      </c>
      <c r="M187" s="78">
        <f t="shared" si="517"/>
        <v>0.37</v>
      </c>
      <c r="N187" s="79">
        <f t="shared" si="520"/>
        <v>45</v>
      </c>
      <c r="O187" s="78">
        <f t="shared" si="521"/>
        <v>33.299999999999997</v>
      </c>
      <c r="P187" s="145"/>
    </row>
    <row r="188" spans="1:16" x14ac:dyDescent="0.2">
      <c r="A188" s="19" t="s">
        <v>442</v>
      </c>
      <c r="B188" s="72">
        <v>45981</v>
      </c>
      <c r="C188" s="72"/>
      <c r="D188" s="73">
        <v>52</v>
      </c>
      <c r="E188" s="73">
        <v>2</v>
      </c>
      <c r="F188" s="19"/>
      <c r="G188" s="19"/>
      <c r="H188" s="76">
        <v>32</v>
      </c>
      <c r="I188" s="76">
        <v>4</v>
      </c>
      <c r="J188" s="19">
        <v>1</v>
      </c>
      <c r="K188" s="19">
        <v>7</v>
      </c>
      <c r="L188" s="19">
        <v>5</v>
      </c>
      <c r="M188" s="78">
        <f t="shared" si="517"/>
        <v>0.37</v>
      </c>
      <c r="N188" s="79">
        <f t="shared" si="520"/>
        <v>35</v>
      </c>
      <c r="O188" s="78">
        <f t="shared" si="521"/>
        <v>25.9</v>
      </c>
      <c r="P188" s="146"/>
    </row>
    <row r="189" spans="1:16" ht="17" thickBot="1" x14ac:dyDescent="0.25">
      <c r="A189" s="88" t="s">
        <v>443</v>
      </c>
      <c r="B189" s="89">
        <v>45981</v>
      </c>
      <c r="C189" s="89"/>
      <c r="D189" s="73">
        <v>52</v>
      </c>
      <c r="E189" s="73">
        <v>2</v>
      </c>
      <c r="F189" s="88"/>
      <c r="G189" s="88"/>
      <c r="H189" s="88">
        <v>32</v>
      </c>
      <c r="I189" s="88">
        <v>10</v>
      </c>
      <c r="J189" s="88">
        <v>1</v>
      </c>
      <c r="K189" s="88">
        <v>12</v>
      </c>
      <c r="L189" s="88">
        <v>2</v>
      </c>
      <c r="M189" s="118">
        <f t="shared" si="517"/>
        <v>0.37</v>
      </c>
      <c r="N189" s="119">
        <f t="shared" si="520"/>
        <v>24</v>
      </c>
      <c r="O189" s="118">
        <f t="shared" si="521"/>
        <v>17.759999999999998</v>
      </c>
      <c r="P189" s="147"/>
    </row>
    <row r="190" spans="1:16" ht="17" thickBot="1" x14ac:dyDescent="0.25">
      <c r="A190" s="90" t="s">
        <v>444</v>
      </c>
      <c r="B190" s="91">
        <v>45981</v>
      </c>
      <c r="C190" s="91"/>
      <c r="D190" s="73">
        <v>52</v>
      </c>
      <c r="E190" s="73">
        <v>2</v>
      </c>
      <c r="F190" s="93" t="s">
        <v>70</v>
      </c>
      <c r="G190" s="93" t="s">
        <v>445</v>
      </c>
      <c r="H190" s="93">
        <v>32</v>
      </c>
      <c r="I190" s="93">
        <v>4</v>
      </c>
      <c r="J190" s="93">
        <v>1.5</v>
      </c>
      <c r="K190" s="93">
        <v>2.5</v>
      </c>
      <c r="L190" s="93">
        <v>4</v>
      </c>
      <c r="M190" s="120">
        <f t="shared" si="517"/>
        <v>0.37</v>
      </c>
      <c r="N190" s="121">
        <f t="shared" si="520"/>
        <v>15</v>
      </c>
      <c r="O190" s="134">
        <f t="shared" si="521"/>
        <v>11.1</v>
      </c>
      <c r="P190" s="148" t="s">
        <v>446</v>
      </c>
    </row>
    <row r="191" spans="1:16" ht="17" thickBot="1" x14ac:dyDescent="0.25">
      <c r="A191" s="93" t="s">
        <v>447</v>
      </c>
      <c r="B191" s="91">
        <v>45981</v>
      </c>
      <c r="C191" s="91"/>
      <c r="D191" s="73">
        <v>52</v>
      </c>
      <c r="E191" s="73">
        <v>2</v>
      </c>
      <c r="F191" s="93" t="s">
        <v>70</v>
      </c>
      <c r="G191" s="93" t="s">
        <v>435</v>
      </c>
      <c r="H191" s="93">
        <v>26</v>
      </c>
      <c r="I191" s="93">
        <v>3</v>
      </c>
      <c r="J191" s="93">
        <v>1.5</v>
      </c>
      <c r="K191" s="93">
        <v>4</v>
      </c>
      <c r="L191" s="93">
        <v>4</v>
      </c>
      <c r="M191" s="120">
        <f t="shared" si="517"/>
        <v>0.37</v>
      </c>
      <c r="N191" s="121">
        <f t="shared" si="520"/>
        <v>24</v>
      </c>
      <c r="O191" s="134">
        <f t="shared" si="521"/>
        <v>17.759999999999998</v>
      </c>
      <c r="P191" s="148" t="s">
        <v>401</v>
      </c>
    </row>
    <row r="192" spans="1:16" ht="17" thickBot="1" x14ac:dyDescent="0.25">
      <c r="A192" s="93" t="s">
        <v>448</v>
      </c>
      <c r="B192" s="91">
        <v>45982</v>
      </c>
      <c r="C192" s="91"/>
      <c r="D192" s="73">
        <v>52</v>
      </c>
      <c r="E192" s="73">
        <v>2</v>
      </c>
      <c r="F192" s="93" t="s">
        <v>70</v>
      </c>
      <c r="G192" s="92" t="s">
        <v>324</v>
      </c>
      <c r="H192" s="92">
        <v>32</v>
      </c>
      <c r="I192" s="93">
        <v>10</v>
      </c>
      <c r="J192" s="93">
        <v>1</v>
      </c>
      <c r="K192" s="93">
        <v>1.5</v>
      </c>
      <c r="L192" s="93">
        <v>2</v>
      </c>
      <c r="M192" s="120">
        <f t="shared" si="517"/>
        <v>0.37</v>
      </c>
      <c r="N192" s="121">
        <f t="shared" si="520"/>
        <v>3</v>
      </c>
      <c r="O192" s="134">
        <f t="shared" si="521"/>
        <v>2.2199999999999998</v>
      </c>
      <c r="P192" s="149"/>
    </row>
    <row r="193" spans="1:16" ht="17" thickBot="1" x14ac:dyDescent="0.25">
      <c r="A193" s="90" t="s">
        <v>449</v>
      </c>
      <c r="B193" s="91">
        <v>45982</v>
      </c>
      <c r="C193" s="91"/>
      <c r="D193" s="73">
        <v>52</v>
      </c>
      <c r="E193" s="73">
        <v>2</v>
      </c>
      <c r="F193" s="93" t="s">
        <v>70</v>
      </c>
      <c r="G193" s="93" t="s">
        <v>450</v>
      </c>
      <c r="H193" s="93">
        <v>32</v>
      </c>
      <c r="I193" s="93">
        <v>4</v>
      </c>
      <c r="J193" s="93">
        <v>1.5</v>
      </c>
      <c r="K193" s="93">
        <v>1.5</v>
      </c>
      <c r="L193" s="93">
        <v>3</v>
      </c>
      <c r="M193" s="120">
        <f t="shared" si="517"/>
        <v>0.37</v>
      </c>
      <c r="N193" s="121">
        <f t="shared" si="520"/>
        <v>6.75</v>
      </c>
      <c r="O193" s="134">
        <f t="shared" si="521"/>
        <v>4.9950000000000001</v>
      </c>
      <c r="P193" s="149"/>
    </row>
    <row r="194" spans="1:16" ht="17" thickBot="1" x14ac:dyDescent="0.25">
      <c r="A194" s="93" t="s">
        <v>451</v>
      </c>
      <c r="B194" s="91">
        <v>45982</v>
      </c>
      <c r="C194" s="91"/>
      <c r="D194" s="73">
        <v>52</v>
      </c>
      <c r="E194" s="73">
        <v>2</v>
      </c>
      <c r="F194" s="93" t="s">
        <v>70</v>
      </c>
      <c r="G194" s="93" t="s">
        <v>435</v>
      </c>
      <c r="H194" s="93">
        <v>10</v>
      </c>
      <c r="I194" s="93">
        <v>8</v>
      </c>
      <c r="J194" s="93">
        <v>1.5</v>
      </c>
      <c r="K194" s="93">
        <v>3</v>
      </c>
      <c r="L194" s="93">
        <v>6</v>
      </c>
      <c r="M194" s="120">
        <f t="shared" si="517"/>
        <v>0.37</v>
      </c>
      <c r="N194" s="121">
        <f t="shared" si="520"/>
        <v>27</v>
      </c>
      <c r="O194" s="134">
        <f t="shared" si="521"/>
        <v>19.98</v>
      </c>
      <c r="P194" s="148" t="s">
        <v>401</v>
      </c>
    </row>
    <row r="195" spans="1:16" ht="17" thickBot="1" x14ac:dyDescent="0.25">
      <c r="A195" s="90" t="s">
        <v>328</v>
      </c>
      <c r="B195" s="91">
        <v>45985</v>
      </c>
      <c r="C195" s="91"/>
      <c r="D195" s="73">
        <v>52</v>
      </c>
      <c r="E195" s="73">
        <v>1</v>
      </c>
      <c r="F195" s="93" t="s">
        <v>70</v>
      </c>
      <c r="G195" s="93" t="s">
        <v>454</v>
      </c>
      <c r="H195" s="93">
        <v>0</v>
      </c>
      <c r="I195" s="93">
        <v>1</v>
      </c>
      <c r="J195" s="93">
        <v>2</v>
      </c>
      <c r="K195" s="93">
        <v>3</v>
      </c>
      <c r="L195" s="93">
        <v>4</v>
      </c>
      <c r="M195" s="120">
        <f t="shared" ref="M195:M199" si="522">INDEX($T$2:$T$13,MATCH(I195,$R$2:$R$13,0))</f>
        <v>0.37</v>
      </c>
      <c r="N195" s="121">
        <f t="shared" ref="N195:N199" si="523">J195*K195*L195</f>
        <v>24</v>
      </c>
      <c r="O195" s="134">
        <f t="shared" ref="O195:O199" si="524">N195*M195*E195</f>
        <v>8.879999999999999</v>
      </c>
      <c r="P195" s="149"/>
    </row>
    <row r="196" spans="1:16" ht="17" thickBot="1" x14ac:dyDescent="0.25">
      <c r="A196" s="76" t="s">
        <v>455</v>
      </c>
      <c r="B196" s="72">
        <v>45986</v>
      </c>
      <c r="C196" s="72"/>
      <c r="D196" s="73">
        <v>52</v>
      </c>
      <c r="E196" s="73">
        <v>1</v>
      </c>
      <c r="F196" s="93" t="s">
        <v>70</v>
      </c>
      <c r="G196" s="113" t="s">
        <v>247</v>
      </c>
      <c r="H196" s="76">
        <v>32</v>
      </c>
      <c r="I196" s="76">
        <v>4</v>
      </c>
      <c r="J196" s="76">
        <v>2</v>
      </c>
      <c r="K196" s="76">
        <v>2.5</v>
      </c>
      <c r="L196" s="76">
        <v>4</v>
      </c>
      <c r="M196" s="120">
        <f t="shared" si="522"/>
        <v>0.37</v>
      </c>
      <c r="N196" s="121">
        <f t="shared" si="523"/>
        <v>20</v>
      </c>
      <c r="O196" s="134">
        <f t="shared" si="524"/>
        <v>7.4</v>
      </c>
      <c r="P196" s="144"/>
    </row>
    <row r="197" spans="1:16" ht="17" thickBot="1" x14ac:dyDescent="0.25">
      <c r="A197" s="88" t="s">
        <v>68</v>
      </c>
      <c r="B197" s="89">
        <v>45988</v>
      </c>
      <c r="C197" s="89"/>
      <c r="D197" s="73">
        <v>52</v>
      </c>
      <c r="E197" s="73">
        <v>1</v>
      </c>
      <c r="F197" s="88" t="s">
        <v>70</v>
      </c>
      <c r="G197" s="88" t="s">
        <v>71</v>
      </c>
      <c r="H197" s="98">
        <v>32</v>
      </c>
      <c r="I197" s="98">
        <v>4</v>
      </c>
      <c r="J197" s="102">
        <v>1</v>
      </c>
      <c r="K197" s="88">
        <v>2.5</v>
      </c>
      <c r="L197" s="102">
        <v>5</v>
      </c>
      <c r="M197" s="120">
        <f t="shared" si="522"/>
        <v>0.37</v>
      </c>
      <c r="N197" s="121">
        <f t="shared" si="523"/>
        <v>12.5</v>
      </c>
      <c r="O197" s="134">
        <f t="shared" si="524"/>
        <v>4.625</v>
      </c>
      <c r="P197" s="112" t="s">
        <v>72</v>
      </c>
    </row>
    <row r="198" spans="1:16" ht="17" thickBot="1" x14ac:dyDescent="0.25">
      <c r="A198" s="105" t="s">
        <v>329</v>
      </c>
      <c r="B198" s="106">
        <v>45989</v>
      </c>
      <c r="C198" s="106"/>
      <c r="D198" s="73">
        <v>52</v>
      </c>
      <c r="E198" s="73">
        <v>1</v>
      </c>
      <c r="F198" s="186" t="s">
        <v>70</v>
      </c>
      <c r="G198" s="186" t="s">
        <v>331</v>
      </c>
      <c r="H198" s="107">
        <v>0</v>
      </c>
      <c r="I198" s="107">
        <v>1</v>
      </c>
      <c r="J198" s="108">
        <v>3</v>
      </c>
      <c r="K198" s="105">
        <v>3</v>
      </c>
      <c r="L198" s="108">
        <v>5</v>
      </c>
      <c r="M198" s="120">
        <f t="shared" si="522"/>
        <v>0.37</v>
      </c>
      <c r="N198" s="121">
        <f t="shared" si="523"/>
        <v>45</v>
      </c>
      <c r="O198" s="134">
        <f t="shared" si="524"/>
        <v>16.649999999999999</v>
      </c>
      <c r="P198" s="194" t="s">
        <v>180</v>
      </c>
    </row>
    <row r="199" spans="1:16" ht="17" thickBot="1" x14ac:dyDescent="0.25">
      <c r="A199" s="88" t="s">
        <v>332</v>
      </c>
      <c r="B199" s="89">
        <v>45989</v>
      </c>
      <c r="C199" s="89"/>
      <c r="D199" s="73">
        <v>52</v>
      </c>
      <c r="E199" s="73">
        <v>1</v>
      </c>
      <c r="F199" s="187"/>
      <c r="G199" s="187"/>
      <c r="H199" s="98">
        <v>0</v>
      </c>
      <c r="I199" s="98">
        <v>7</v>
      </c>
      <c r="J199" s="102">
        <v>1</v>
      </c>
      <c r="K199" s="88">
        <v>1.5</v>
      </c>
      <c r="L199" s="102">
        <v>2</v>
      </c>
      <c r="M199" s="120">
        <f t="shared" si="522"/>
        <v>0.37</v>
      </c>
      <c r="N199" s="121">
        <f t="shared" si="523"/>
        <v>3</v>
      </c>
      <c r="O199" s="134">
        <f t="shared" si="524"/>
        <v>1.1099999999999999</v>
      </c>
      <c r="P199" s="195"/>
    </row>
    <row r="200" spans="1:16" x14ac:dyDescent="0.2">
      <c r="A200" s="47"/>
      <c r="B200" s="46"/>
      <c r="C200" s="47"/>
      <c r="D200" s="47"/>
      <c r="E200" s="46"/>
      <c r="F200" s="46"/>
      <c r="G200" s="46"/>
      <c r="H200" s="47"/>
      <c r="I200" s="47"/>
      <c r="J200" s="46"/>
      <c r="K200" s="46"/>
      <c r="L200" s="46"/>
      <c r="M200" s="40"/>
      <c r="N200" s="41"/>
      <c r="O200" s="40"/>
      <c r="P200" s="46"/>
    </row>
    <row r="201" spans="1:16" x14ac:dyDescent="0.2">
      <c r="A201" s="47"/>
      <c r="B201" s="46"/>
      <c r="C201" s="47"/>
      <c r="D201" s="47"/>
      <c r="E201" s="46"/>
      <c r="F201" s="46"/>
      <c r="G201" s="46"/>
      <c r="H201" s="47"/>
      <c r="I201" s="47"/>
      <c r="J201" s="46"/>
      <c r="K201" s="46"/>
      <c r="L201" s="46"/>
      <c r="M201" s="40"/>
      <c r="N201" s="41"/>
      <c r="O201" s="40"/>
      <c r="P201" s="46"/>
    </row>
    <row r="202" spans="1:16" x14ac:dyDescent="0.2">
      <c r="A202" s="47"/>
      <c r="B202" s="46"/>
      <c r="C202" s="47"/>
      <c r="D202" s="47"/>
      <c r="E202" s="46"/>
      <c r="F202" s="46"/>
      <c r="G202" s="46"/>
      <c r="H202" s="47"/>
      <c r="I202" s="47"/>
      <c r="J202" s="46"/>
      <c r="K202" s="46"/>
      <c r="L202" s="46"/>
      <c r="M202" s="40"/>
      <c r="N202" s="41"/>
      <c r="O202" s="40"/>
      <c r="P202" s="46"/>
    </row>
    <row r="203" spans="1:16" x14ac:dyDescent="0.2">
      <c r="A203" s="47"/>
      <c r="B203" s="46"/>
      <c r="C203" s="47"/>
      <c r="D203" s="47"/>
      <c r="E203" s="46"/>
      <c r="F203" s="46"/>
      <c r="G203" s="46"/>
      <c r="H203" s="47"/>
      <c r="I203" s="47"/>
      <c r="J203" s="46"/>
      <c r="K203" s="46"/>
      <c r="L203" s="46"/>
      <c r="M203" s="40"/>
      <c r="N203" s="41"/>
      <c r="O203" s="40"/>
      <c r="P203" s="46"/>
    </row>
    <row r="204" spans="1:16" x14ac:dyDescent="0.2">
      <c r="A204" s="47"/>
      <c r="B204" s="46"/>
      <c r="C204" s="47"/>
      <c r="D204" s="47"/>
      <c r="E204" s="46"/>
      <c r="F204" s="46"/>
      <c r="G204" s="46"/>
      <c r="H204" s="47"/>
      <c r="I204" s="47"/>
      <c r="J204" s="46"/>
      <c r="K204" s="46"/>
      <c r="L204" s="46"/>
      <c r="M204" s="40"/>
      <c r="N204" s="41"/>
      <c r="O204" s="40"/>
      <c r="P204" s="46"/>
    </row>
    <row r="205" spans="1:16" x14ac:dyDescent="0.2">
      <c r="A205" s="47"/>
      <c r="B205" s="46"/>
      <c r="C205" s="47"/>
      <c r="D205" s="47"/>
      <c r="E205" s="46"/>
      <c r="F205" s="46"/>
      <c r="G205" s="46"/>
      <c r="H205" s="47"/>
      <c r="I205" s="47"/>
      <c r="J205" s="46"/>
      <c r="K205" s="46"/>
      <c r="L205" s="46"/>
      <c r="M205" s="40"/>
      <c r="N205" s="41"/>
      <c r="O205" s="40"/>
      <c r="P205" s="46"/>
    </row>
    <row r="206" spans="1:16" x14ac:dyDescent="0.2">
      <c r="A206" s="47"/>
      <c r="B206" s="46"/>
      <c r="C206" s="47"/>
      <c r="D206" s="47"/>
      <c r="E206" s="46"/>
      <c r="F206" s="46"/>
      <c r="G206" s="46"/>
      <c r="H206" s="47"/>
      <c r="I206" s="47"/>
      <c r="J206" s="46"/>
      <c r="K206" s="46"/>
      <c r="L206" s="46"/>
      <c r="M206" s="40"/>
      <c r="N206" s="41"/>
      <c r="O206" s="40"/>
      <c r="P206" s="46"/>
    </row>
    <row r="207" spans="1:16" x14ac:dyDescent="0.2">
      <c r="A207" s="47"/>
      <c r="B207" s="46"/>
      <c r="C207" s="47"/>
      <c r="D207" s="47"/>
      <c r="E207" s="46"/>
      <c r="F207" s="46"/>
      <c r="G207" s="46"/>
      <c r="H207" s="47"/>
      <c r="I207" s="47"/>
      <c r="J207" s="46"/>
      <c r="K207" s="46"/>
      <c r="L207" s="46"/>
      <c r="M207" s="40"/>
      <c r="N207" s="41"/>
      <c r="O207" s="40"/>
      <c r="P207" s="46"/>
    </row>
    <row r="208" spans="1:16" x14ac:dyDescent="0.2">
      <c r="A208" s="47"/>
      <c r="B208" s="46"/>
      <c r="C208" s="47"/>
      <c r="D208" s="47"/>
      <c r="E208" s="46"/>
      <c r="F208" s="46"/>
      <c r="G208" s="46"/>
      <c r="H208" s="47"/>
      <c r="I208" s="47"/>
      <c r="J208" s="46"/>
      <c r="K208" s="46"/>
      <c r="L208" s="46"/>
      <c r="M208" s="40"/>
      <c r="N208" s="41"/>
      <c r="O208" s="40"/>
      <c r="P208" s="46"/>
    </row>
    <row r="209" spans="1:16" x14ac:dyDescent="0.2">
      <c r="A209" s="47"/>
      <c r="B209" s="46"/>
      <c r="C209" s="47"/>
      <c r="D209" s="47"/>
      <c r="E209" s="46"/>
      <c r="F209" s="46"/>
      <c r="G209" s="46"/>
      <c r="H209" s="47"/>
      <c r="I209" s="47"/>
      <c r="J209" s="46"/>
      <c r="K209" s="46"/>
      <c r="L209" s="46"/>
      <c r="M209" s="40"/>
      <c r="N209" s="41"/>
      <c r="O209" s="40"/>
      <c r="P209" s="46"/>
    </row>
    <row r="210" spans="1:16" x14ac:dyDescent="0.2">
      <c r="A210" s="47"/>
      <c r="B210" s="46"/>
      <c r="C210" s="47"/>
      <c r="D210" s="47"/>
      <c r="E210" s="46"/>
      <c r="F210" s="46"/>
      <c r="G210" s="46"/>
      <c r="H210" s="47"/>
      <c r="I210" s="47"/>
      <c r="J210" s="46"/>
      <c r="K210" s="46"/>
      <c r="L210" s="46"/>
      <c r="M210" s="40"/>
      <c r="N210" s="41"/>
      <c r="O210" s="40"/>
      <c r="P210" s="46"/>
    </row>
    <row r="211" spans="1:16" x14ac:dyDescent="0.2">
      <c r="A211" s="47"/>
      <c r="B211" s="46"/>
      <c r="C211" s="47"/>
      <c r="D211" s="47"/>
      <c r="E211" s="46"/>
      <c r="F211" s="46"/>
      <c r="G211" s="46"/>
      <c r="H211" s="47"/>
      <c r="I211" s="47"/>
      <c r="J211" s="46"/>
      <c r="K211" s="46"/>
      <c r="L211" s="46"/>
      <c r="M211" s="40"/>
      <c r="N211" s="41"/>
      <c r="O211" s="40"/>
      <c r="P211" s="46"/>
    </row>
    <row r="212" spans="1:16" x14ac:dyDescent="0.2">
      <c r="A212" s="47"/>
      <c r="B212" s="46"/>
      <c r="C212" s="47"/>
      <c r="D212" s="47"/>
      <c r="E212" s="46"/>
      <c r="F212" s="46"/>
      <c r="G212" s="46"/>
      <c r="H212" s="47"/>
      <c r="I212" s="47"/>
      <c r="J212" s="46"/>
      <c r="K212" s="46"/>
      <c r="L212" s="46"/>
      <c r="M212" s="40"/>
      <c r="N212" s="41"/>
      <c r="O212" s="40"/>
      <c r="P212" s="46"/>
    </row>
    <row r="213" spans="1:16" x14ac:dyDescent="0.2">
      <c r="A213" s="47"/>
      <c r="B213" s="46"/>
      <c r="C213" s="47"/>
      <c r="D213" s="47"/>
      <c r="E213" s="46"/>
      <c r="F213" s="46"/>
      <c r="G213" s="46"/>
      <c r="H213" s="47"/>
      <c r="I213" s="47"/>
      <c r="J213" s="46"/>
      <c r="K213" s="46"/>
      <c r="L213" s="46"/>
      <c r="M213" s="40"/>
      <c r="N213" s="41"/>
      <c r="O213" s="40"/>
      <c r="P213" s="46"/>
    </row>
    <row r="214" spans="1:16" x14ac:dyDescent="0.2">
      <c r="A214" s="47"/>
      <c r="B214" s="46"/>
      <c r="C214" s="47"/>
      <c r="D214" s="47"/>
      <c r="E214" s="46"/>
      <c r="F214" s="46"/>
      <c r="G214" s="46"/>
      <c r="H214" s="47"/>
      <c r="I214" s="47"/>
      <c r="J214" s="46"/>
      <c r="K214" s="46"/>
      <c r="L214" s="46"/>
      <c r="M214" s="40"/>
      <c r="N214" s="41"/>
      <c r="O214" s="40"/>
      <c r="P214" s="46"/>
    </row>
    <row r="215" spans="1:16" x14ac:dyDescent="0.2">
      <c r="A215" s="47"/>
      <c r="B215" s="46"/>
      <c r="C215" s="47"/>
      <c r="D215" s="47"/>
      <c r="E215" s="46"/>
      <c r="F215" s="46"/>
      <c r="G215" s="46"/>
      <c r="H215" s="47"/>
      <c r="I215" s="47"/>
      <c r="J215" s="46"/>
      <c r="K215" s="46"/>
      <c r="L215" s="46"/>
      <c r="M215" s="40"/>
      <c r="N215" s="41"/>
      <c r="O215" s="40"/>
      <c r="P215" s="46"/>
    </row>
    <row r="216" spans="1:16" x14ac:dyDescent="0.2">
      <c r="A216" s="47"/>
      <c r="B216" s="46"/>
      <c r="C216" s="47"/>
      <c r="D216" s="47"/>
      <c r="E216" s="46"/>
      <c r="F216" s="46"/>
      <c r="G216" s="46"/>
      <c r="H216" s="47"/>
      <c r="I216" s="47"/>
      <c r="J216" s="46"/>
      <c r="K216" s="46"/>
      <c r="L216" s="46"/>
      <c r="M216" s="40"/>
      <c r="N216" s="41"/>
      <c r="O216" s="40"/>
      <c r="P216" s="46"/>
    </row>
    <row r="217" spans="1:16" x14ac:dyDescent="0.2">
      <c r="A217" s="47"/>
      <c r="B217" s="46"/>
      <c r="C217" s="47"/>
      <c r="D217" s="47"/>
      <c r="E217" s="46"/>
      <c r="F217" s="46"/>
      <c r="G217" s="46"/>
      <c r="H217" s="47"/>
      <c r="I217" s="47"/>
      <c r="J217" s="46"/>
      <c r="K217" s="46"/>
      <c r="L217" s="46"/>
      <c r="M217" s="40"/>
      <c r="N217" s="41"/>
      <c r="O217" s="40"/>
      <c r="P217" s="46"/>
    </row>
    <row r="218" spans="1:16" x14ac:dyDescent="0.2">
      <c r="A218" s="47"/>
      <c r="B218" s="46"/>
      <c r="C218" s="47"/>
      <c r="D218" s="47"/>
      <c r="E218" s="46"/>
      <c r="F218" s="46"/>
      <c r="G218" s="46"/>
      <c r="H218" s="47"/>
      <c r="I218" s="47"/>
      <c r="J218" s="46"/>
      <c r="K218" s="46"/>
      <c r="L218" s="46"/>
      <c r="M218" s="40"/>
      <c r="N218" s="41"/>
      <c r="O218" s="40"/>
      <c r="P218" s="46"/>
    </row>
    <row r="219" spans="1:16" x14ac:dyDescent="0.2">
      <c r="A219" s="47"/>
      <c r="B219" s="46"/>
      <c r="C219" s="47"/>
      <c r="D219" s="47"/>
      <c r="E219" s="46"/>
      <c r="F219" s="46"/>
      <c r="G219" s="46"/>
      <c r="H219" s="47"/>
      <c r="I219" s="47"/>
      <c r="J219" s="46"/>
      <c r="K219" s="46"/>
      <c r="L219" s="46"/>
      <c r="M219" s="40"/>
      <c r="N219" s="41"/>
      <c r="O219" s="40"/>
      <c r="P219" s="46"/>
    </row>
    <row r="220" spans="1:16" x14ac:dyDescent="0.2">
      <c r="A220" s="47"/>
      <c r="B220" s="46"/>
      <c r="C220" s="47"/>
      <c r="D220" s="47"/>
      <c r="E220" s="46"/>
      <c r="F220" s="46"/>
      <c r="G220" s="46"/>
      <c r="H220" s="47"/>
      <c r="I220" s="47"/>
      <c r="J220" s="46"/>
      <c r="K220" s="46"/>
      <c r="L220" s="46"/>
      <c r="M220" s="40"/>
      <c r="N220" s="41"/>
      <c r="O220" s="40"/>
      <c r="P220" s="46"/>
    </row>
    <row r="221" spans="1:16" x14ac:dyDescent="0.2">
      <c r="A221" s="47"/>
      <c r="B221" s="46"/>
      <c r="C221" s="47"/>
      <c r="D221" s="47"/>
      <c r="E221" s="46"/>
      <c r="F221" s="46"/>
      <c r="G221" s="46"/>
      <c r="H221" s="47"/>
      <c r="I221" s="47"/>
      <c r="J221" s="46"/>
      <c r="K221" s="46"/>
      <c r="L221" s="46"/>
      <c r="M221" s="40"/>
      <c r="N221" s="41"/>
      <c r="O221" s="40"/>
      <c r="P221" s="46"/>
    </row>
    <row r="222" spans="1:16" x14ac:dyDescent="0.2">
      <c r="A222" s="47"/>
      <c r="B222" s="46"/>
      <c r="C222" s="47"/>
      <c r="D222" s="47"/>
      <c r="E222" s="46"/>
      <c r="F222" s="46"/>
      <c r="G222" s="46"/>
      <c r="H222" s="47"/>
      <c r="I222" s="47"/>
      <c r="J222" s="46"/>
      <c r="K222" s="46"/>
      <c r="L222" s="46"/>
      <c r="M222" s="40"/>
      <c r="N222" s="41"/>
      <c r="O222" s="40"/>
      <c r="P222" s="46"/>
    </row>
    <row r="223" spans="1:16" x14ac:dyDescent="0.2">
      <c r="A223" s="47"/>
      <c r="B223" s="46"/>
      <c r="C223" s="47"/>
      <c r="D223" s="47"/>
      <c r="E223" s="46"/>
      <c r="F223" s="46"/>
      <c r="G223" s="46"/>
      <c r="H223" s="47"/>
      <c r="I223" s="47"/>
      <c r="J223" s="46"/>
      <c r="K223" s="46"/>
      <c r="L223" s="46"/>
      <c r="M223" s="40"/>
      <c r="N223" s="41"/>
      <c r="O223" s="40"/>
      <c r="P223" s="46"/>
    </row>
    <row r="224" spans="1:16" x14ac:dyDescent="0.2">
      <c r="A224" s="47"/>
      <c r="B224" s="46"/>
      <c r="C224" s="47"/>
      <c r="D224" s="47"/>
      <c r="E224" s="46"/>
      <c r="F224" s="46"/>
      <c r="G224" s="46"/>
      <c r="H224" s="47"/>
      <c r="I224" s="47"/>
      <c r="J224" s="46"/>
      <c r="K224" s="46"/>
      <c r="L224" s="46"/>
      <c r="M224" s="40"/>
      <c r="N224" s="41"/>
      <c r="O224" s="40"/>
      <c r="P224" s="46"/>
    </row>
    <row r="225" spans="1:16" x14ac:dyDescent="0.2">
      <c r="A225" s="47"/>
      <c r="B225" s="46"/>
      <c r="C225" s="47"/>
      <c r="D225" s="47"/>
      <c r="E225" s="46"/>
      <c r="F225" s="46"/>
      <c r="G225" s="46"/>
      <c r="H225" s="47"/>
      <c r="I225" s="47"/>
      <c r="J225" s="46"/>
      <c r="K225" s="46"/>
      <c r="L225" s="46"/>
      <c r="M225" s="40"/>
      <c r="N225" s="41"/>
      <c r="O225" s="40"/>
      <c r="P225" s="46"/>
    </row>
    <row r="226" spans="1:16" x14ac:dyDescent="0.2">
      <c r="A226" s="47"/>
      <c r="B226" s="46"/>
      <c r="C226" s="47"/>
      <c r="D226" s="47"/>
      <c r="E226" s="46"/>
      <c r="F226" s="46"/>
      <c r="G226" s="46"/>
      <c r="H226" s="47"/>
      <c r="I226" s="47"/>
      <c r="J226" s="46"/>
      <c r="K226" s="46"/>
      <c r="L226" s="46"/>
      <c r="M226" s="40"/>
      <c r="N226" s="41"/>
      <c r="O226" s="40"/>
      <c r="P226" s="46"/>
    </row>
    <row r="227" spans="1:16" x14ac:dyDescent="0.2">
      <c r="A227" s="47"/>
      <c r="B227" s="46"/>
      <c r="C227" s="47"/>
      <c r="D227" s="47"/>
      <c r="E227" s="46"/>
      <c r="F227" s="46"/>
      <c r="G227" s="46"/>
      <c r="H227" s="47"/>
      <c r="I227" s="47"/>
      <c r="J227" s="46"/>
      <c r="K227" s="46"/>
      <c r="L227" s="46"/>
      <c r="M227" s="40"/>
      <c r="N227" s="41"/>
      <c r="O227" s="40"/>
      <c r="P227" s="46"/>
    </row>
    <row r="228" spans="1:16" x14ac:dyDescent="0.2">
      <c r="A228" s="47"/>
      <c r="B228" s="46"/>
      <c r="C228" s="47"/>
      <c r="D228" s="47"/>
      <c r="E228" s="46"/>
      <c r="F228" s="46"/>
      <c r="G228" s="46"/>
      <c r="H228" s="47"/>
      <c r="I228" s="47"/>
      <c r="J228" s="46"/>
      <c r="K228" s="46"/>
      <c r="L228" s="46"/>
      <c r="M228" s="40"/>
      <c r="N228" s="41"/>
      <c r="O228" s="40"/>
      <c r="P228" s="46"/>
    </row>
    <row r="229" spans="1:16" x14ac:dyDescent="0.2">
      <c r="A229" s="47"/>
      <c r="B229" s="46"/>
      <c r="C229" s="47"/>
      <c r="D229" s="47"/>
      <c r="E229" s="46"/>
      <c r="F229" s="46"/>
      <c r="G229" s="46"/>
      <c r="H229" s="47"/>
      <c r="I229" s="47"/>
      <c r="J229" s="46"/>
      <c r="K229" s="46"/>
      <c r="L229" s="46"/>
      <c r="M229" s="40"/>
      <c r="N229" s="41"/>
      <c r="O229" s="40"/>
      <c r="P229" s="46"/>
    </row>
    <row r="230" spans="1:16" x14ac:dyDescent="0.2">
      <c r="A230" s="47"/>
      <c r="B230" s="46"/>
      <c r="C230" s="47"/>
      <c r="D230" s="47"/>
      <c r="E230" s="46"/>
      <c r="F230" s="46"/>
      <c r="G230" s="46"/>
      <c r="H230" s="47"/>
      <c r="I230" s="47"/>
      <c r="J230" s="46"/>
      <c r="K230" s="46"/>
      <c r="L230" s="46"/>
      <c r="M230" s="40"/>
      <c r="N230" s="41"/>
      <c r="O230" s="40"/>
      <c r="P230" s="46"/>
    </row>
    <row r="231" spans="1:16" x14ac:dyDescent="0.2">
      <c r="A231" s="47"/>
      <c r="B231" s="46"/>
      <c r="C231" s="47"/>
      <c r="D231" s="47"/>
      <c r="E231" s="46"/>
      <c r="F231" s="46"/>
      <c r="G231" s="46"/>
      <c r="H231" s="47"/>
      <c r="I231" s="47"/>
      <c r="J231" s="46"/>
      <c r="K231" s="46"/>
      <c r="L231" s="46"/>
      <c r="M231" s="40"/>
      <c r="N231" s="41"/>
      <c r="O231" s="40"/>
      <c r="P231" s="46"/>
    </row>
    <row r="232" spans="1:16" x14ac:dyDescent="0.2">
      <c r="A232" s="47"/>
      <c r="B232" s="46"/>
      <c r="C232" s="47"/>
      <c r="D232" s="47"/>
      <c r="E232" s="46"/>
      <c r="F232" s="46"/>
      <c r="G232" s="46"/>
      <c r="H232" s="47"/>
      <c r="I232" s="47"/>
      <c r="J232" s="46"/>
      <c r="K232" s="46"/>
      <c r="L232" s="46"/>
      <c r="M232" s="40"/>
      <c r="N232" s="41"/>
      <c r="O232" s="40"/>
      <c r="P232" s="46"/>
    </row>
    <row r="233" spans="1:16" x14ac:dyDescent="0.2">
      <c r="A233" s="47"/>
      <c r="B233" s="46"/>
      <c r="C233" s="47"/>
      <c r="D233" s="47"/>
      <c r="E233" s="46"/>
      <c r="F233" s="46"/>
      <c r="G233" s="46"/>
      <c r="H233" s="47"/>
      <c r="I233" s="47"/>
      <c r="J233" s="46"/>
      <c r="K233" s="46"/>
      <c r="L233" s="46"/>
      <c r="M233" s="40"/>
      <c r="N233" s="41"/>
      <c r="O233" s="40"/>
      <c r="P233" s="46"/>
    </row>
    <row r="234" spans="1:16" x14ac:dyDescent="0.2">
      <c r="A234" s="47"/>
      <c r="B234" s="46"/>
      <c r="C234" s="47"/>
      <c r="D234" s="47"/>
      <c r="E234" s="46"/>
      <c r="F234" s="46"/>
      <c r="G234" s="46"/>
      <c r="H234" s="47"/>
      <c r="I234" s="47"/>
      <c r="J234" s="46"/>
      <c r="K234" s="46"/>
      <c r="L234" s="46"/>
      <c r="M234" s="40"/>
      <c r="N234" s="41"/>
      <c r="O234" s="40"/>
      <c r="P234" s="46"/>
    </row>
    <row r="235" spans="1:16" x14ac:dyDescent="0.2">
      <c r="A235" s="47"/>
      <c r="B235" s="46"/>
      <c r="C235" s="47"/>
      <c r="D235" s="47"/>
      <c r="E235" s="46"/>
      <c r="F235" s="46"/>
      <c r="G235" s="46"/>
      <c r="H235" s="47"/>
      <c r="I235" s="47"/>
      <c r="J235" s="46"/>
      <c r="K235" s="46"/>
      <c r="L235" s="46"/>
      <c r="M235" s="40"/>
      <c r="N235" s="41"/>
      <c r="O235" s="40"/>
      <c r="P235" s="46"/>
    </row>
    <row r="236" spans="1:16" x14ac:dyDescent="0.2">
      <c r="A236" s="47"/>
      <c r="B236" s="46"/>
      <c r="C236" s="47"/>
      <c r="D236" s="47"/>
      <c r="E236" s="46"/>
      <c r="F236" s="46"/>
      <c r="G236" s="46"/>
      <c r="H236" s="47"/>
      <c r="I236" s="47"/>
      <c r="J236" s="46"/>
      <c r="K236" s="46"/>
      <c r="L236" s="46"/>
      <c r="M236" s="40"/>
      <c r="N236" s="41"/>
      <c r="O236" s="40"/>
      <c r="P236" s="46"/>
    </row>
    <row r="237" spans="1:16" x14ac:dyDescent="0.2">
      <c r="A237" s="47"/>
      <c r="B237" s="46"/>
      <c r="C237" s="47"/>
      <c r="D237" s="47"/>
      <c r="E237" s="46"/>
      <c r="F237" s="46"/>
      <c r="G237" s="46"/>
      <c r="H237" s="47"/>
      <c r="I237" s="47"/>
      <c r="J237" s="46"/>
      <c r="K237" s="46"/>
      <c r="L237" s="46"/>
      <c r="M237" s="40"/>
      <c r="N237" s="41"/>
      <c r="O237" s="40"/>
      <c r="P237" s="46"/>
    </row>
    <row r="238" spans="1:16" x14ac:dyDescent="0.2">
      <c r="A238" s="47"/>
      <c r="B238" s="46"/>
      <c r="C238" s="47"/>
      <c r="D238" s="47"/>
      <c r="E238" s="46"/>
      <c r="F238" s="46"/>
      <c r="G238" s="46"/>
      <c r="H238" s="47"/>
      <c r="I238" s="47"/>
      <c r="J238" s="46"/>
      <c r="K238" s="46"/>
      <c r="L238" s="46"/>
      <c r="M238" s="40"/>
      <c r="N238" s="41"/>
      <c r="O238" s="40"/>
      <c r="P238" s="46"/>
    </row>
    <row r="239" spans="1:16" x14ac:dyDescent="0.2">
      <c r="A239" s="47"/>
      <c r="B239" s="46"/>
      <c r="C239" s="47"/>
      <c r="D239" s="47"/>
      <c r="E239" s="46"/>
      <c r="F239" s="46"/>
      <c r="G239" s="46"/>
      <c r="H239" s="47"/>
      <c r="I239" s="47"/>
      <c r="J239" s="46"/>
      <c r="K239" s="46"/>
      <c r="L239" s="46"/>
      <c r="M239" s="40"/>
      <c r="N239" s="41"/>
      <c r="O239" s="40"/>
      <c r="P239" s="46"/>
    </row>
    <row r="240" spans="1:16" x14ac:dyDescent="0.2">
      <c r="A240" s="47"/>
      <c r="B240" s="46"/>
      <c r="C240" s="47"/>
      <c r="D240" s="47"/>
      <c r="E240" s="46"/>
      <c r="F240" s="46"/>
      <c r="G240" s="46"/>
      <c r="H240" s="47"/>
      <c r="I240" s="47"/>
      <c r="J240" s="46"/>
      <c r="K240" s="46"/>
      <c r="L240" s="46"/>
      <c r="M240" s="40"/>
      <c r="N240" s="41"/>
      <c r="O240" s="40"/>
      <c r="P240" s="46"/>
    </row>
    <row r="241" spans="1:16" x14ac:dyDescent="0.2">
      <c r="A241" s="47"/>
      <c r="B241" s="46"/>
      <c r="C241" s="47"/>
      <c r="D241" s="47"/>
      <c r="E241" s="46"/>
      <c r="F241" s="46"/>
      <c r="G241" s="46"/>
      <c r="H241" s="47"/>
      <c r="I241" s="47"/>
      <c r="J241" s="46"/>
      <c r="K241" s="46"/>
      <c r="L241" s="46"/>
      <c r="M241" s="40"/>
      <c r="N241" s="41"/>
      <c r="O241" s="40"/>
      <c r="P241" s="46"/>
    </row>
    <row r="242" spans="1:16" x14ac:dyDescent="0.2">
      <c r="A242" s="47"/>
      <c r="B242" s="46"/>
      <c r="C242" s="47"/>
      <c r="D242" s="47"/>
      <c r="E242" s="46"/>
      <c r="F242" s="46"/>
      <c r="G242" s="46"/>
      <c r="H242" s="47"/>
      <c r="I242" s="47"/>
      <c r="J242" s="46"/>
      <c r="K242" s="46"/>
      <c r="L242" s="46"/>
      <c r="M242" s="40"/>
      <c r="N242" s="41"/>
      <c r="O242" s="40"/>
      <c r="P242" s="46"/>
    </row>
    <row r="243" spans="1:16" x14ac:dyDescent="0.2">
      <c r="A243" s="47"/>
      <c r="B243" s="46"/>
      <c r="C243" s="47"/>
      <c r="D243" s="47"/>
      <c r="E243" s="46"/>
      <c r="F243" s="46"/>
      <c r="G243" s="46"/>
      <c r="H243" s="47"/>
      <c r="I243" s="47"/>
      <c r="J243" s="46"/>
      <c r="K243" s="46"/>
      <c r="L243" s="46"/>
      <c r="M243" s="40"/>
      <c r="N243" s="41"/>
      <c r="O243" s="40"/>
      <c r="P243" s="46"/>
    </row>
    <row r="244" spans="1:16" x14ac:dyDescent="0.2">
      <c r="A244" s="47"/>
      <c r="B244" s="46"/>
      <c r="C244" s="47"/>
      <c r="D244" s="47"/>
      <c r="E244" s="46"/>
      <c r="F244" s="46"/>
      <c r="G244" s="46"/>
      <c r="H244" s="47"/>
      <c r="I244" s="47"/>
      <c r="J244" s="46"/>
      <c r="K244" s="46"/>
      <c r="L244" s="46"/>
      <c r="M244" s="40"/>
      <c r="N244" s="41"/>
      <c r="O244" s="40"/>
      <c r="P244" s="46"/>
    </row>
    <row r="245" spans="1:16" x14ac:dyDescent="0.2">
      <c r="A245" s="47"/>
      <c r="B245" s="46"/>
      <c r="C245" s="47"/>
      <c r="D245" s="47"/>
      <c r="E245" s="46"/>
      <c r="F245" s="46"/>
      <c r="G245" s="46"/>
      <c r="H245" s="47"/>
      <c r="I245" s="47"/>
      <c r="J245" s="46"/>
      <c r="K245" s="46"/>
      <c r="L245" s="46"/>
      <c r="M245" s="40"/>
      <c r="N245" s="41"/>
      <c r="O245" s="40"/>
      <c r="P245" s="46"/>
    </row>
    <row r="246" spans="1:16" x14ac:dyDescent="0.2">
      <c r="A246" s="47"/>
      <c r="B246" s="46"/>
      <c r="C246" s="47"/>
      <c r="D246" s="47"/>
      <c r="E246" s="46"/>
      <c r="F246" s="46"/>
      <c r="G246" s="46"/>
      <c r="H246" s="47"/>
      <c r="I246" s="47"/>
      <c r="J246" s="46"/>
      <c r="K246" s="46"/>
      <c r="L246" s="46"/>
      <c r="M246" s="40"/>
      <c r="N246" s="41"/>
      <c r="O246" s="40"/>
      <c r="P246" s="46"/>
    </row>
    <row r="247" spans="1:16" x14ac:dyDescent="0.2">
      <c r="A247" s="47"/>
      <c r="B247" s="46"/>
      <c r="C247" s="47"/>
      <c r="D247" s="47"/>
      <c r="E247" s="46"/>
      <c r="F247" s="46"/>
      <c r="G247" s="46"/>
      <c r="H247" s="47"/>
      <c r="I247" s="47"/>
      <c r="J247" s="46"/>
      <c r="K247" s="46"/>
      <c r="L247" s="46"/>
      <c r="M247" s="40"/>
      <c r="N247" s="41"/>
      <c r="O247" s="40"/>
      <c r="P247" s="46"/>
    </row>
    <row r="248" spans="1:16" x14ac:dyDescent="0.2">
      <c r="A248" s="47"/>
      <c r="B248" s="46"/>
      <c r="C248" s="47"/>
      <c r="D248" s="47"/>
      <c r="E248" s="46"/>
      <c r="F248" s="46"/>
      <c r="G248" s="46"/>
      <c r="H248" s="47"/>
      <c r="I248" s="47"/>
      <c r="J248" s="46"/>
      <c r="K248" s="46"/>
      <c r="L248" s="46"/>
      <c r="M248" s="40"/>
      <c r="N248" s="41"/>
      <c r="O248" s="40"/>
      <c r="P248" s="46"/>
    </row>
    <row r="249" spans="1:16" x14ac:dyDescent="0.2">
      <c r="A249" s="47"/>
      <c r="B249" s="46"/>
      <c r="C249" s="47"/>
      <c r="D249" s="47"/>
      <c r="E249" s="46"/>
      <c r="F249" s="46"/>
      <c r="G249" s="46"/>
      <c r="H249" s="47"/>
      <c r="I249" s="47"/>
      <c r="J249" s="46"/>
      <c r="K249" s="46"/>
      <c r="L249" s="46"/>
      <c r="M249" s="40"/>
      <c r="N249" s="41"/>
      <c r="O249" s="40"/>
      <c r="P249" s="46"/>
    </row>
    <row r="250" spans="1:16" x14ac:dyDescent="0.2">
      <c r="A250" s="47"/>
      <c r="B250" s="46"/>
      <c r="C250" s="47"/>
      <c r="D250" s="47"/>
      <c r="E250" s="46"/>
      <c r="F250" s="46"/>
      <c r="G250" s="46"/>
      <c r="H250" s="47"/>
      <c r="I250" s="47"/>
      <c r="J250" s="46"/>
      <c r="K250" s="46"/>
      <c r="L250" s="46"/>
      <c r="M250" s="40"/>
      <c r="N250" s="41"/>
      <c r="O250" s="40"/>
      <c r="P250" s="46"/>
    </row>
    <row r="251" spans="1:16" x14ac:dyDescent="0.2">
      <c r="A251" s="47"/>
      <c r="B251" s="46"/>
      <c r="C251" s="47"/>
      <c r="D251" s="47"/>
      <c r="E251" s="46"/>
      <c r="F251" s="46"/>
      <c r="G251" s="46"/>
      <c r="H251" s="47"/>
      <c r="I251" s="47"/>
      <c r="J251" s="46"/>
      <c r="K251" s="46"/>
      <c r="L251" s="46"/>
      <c r="M251" s="40"/>
      <c r="N251" s="41"/>
      <c r="O251" s="40"/>
      <c r="P251" s="46"/>
    </row>
    <row r="252" spans="1:16" x14ac:dyDescent="0.2">
      <c r="A252" s="47"/>
      <c r="B252" s="46"/>
      <c r="C252" s="47"/>
      <c r="D252" s="47"/>
      <c r="E252" s="46"/>
      <c r="F252" s="46"/>
      <c r="G252" s="46"/>
      <c r="H252" s="47"/>
      <c r="I252" s="47"/>
      <c r="J252" s="46"/>
      <c r="K252" s="46"/>
      <c r="L252" s="46"/>
      <c r="M252" s="40"/>
      <c r="N252" s="41"/>
      <c r="O252" s="40"/>
      <c r="P252" s="46"/>
    </row>
    <row r="253" spans="1:16" x14ac:dyDescent="0.2">
      <c r="A253" s="47"/>
      <c r="B253" s="46"/>
      <c r="C253" s="47"/>
      <c r="D253" s="47"/>
      <c r="E253" s="46"/>
      <c r="F253" s="46"/>
      <c r="G253" s="46"/>
      <c r="H253" s="47"/>
      <c r="I253" s="47"/>
      <c r="J253" s="46"/>
      <c r="K253" s="46"/>
      <c r="L253" s="46"/>
      <c r="M253" s="40"/>
      <c r="N253" s="41"/>
      <c r="O253" s="40"/>
      <c r="P253" s="46"/>
    </row>
    <row r="254" spans="1:16" x14ac:dyDescent="0.2">
      <c r="A254" s="47"/>
      <c r="B254" s="46"/>
      <c r="C254" s="47"/>
      <c r="D254" s="47"/>
      <c r="E254" s="46"/>
      <c r="F254" s="46"/>
      <c r="G254" s="46"/>
      <c r="H254" s="47"/>
      <c r="I254" s="47"/>
      <c r="J254" s="46"/>
      <c r="K254" s="46"/>
      <c r="L254" s="46"/>
      <c r="M254" s="40"/>
      <c r="N254" s="41"/>
      <c r="O254" s="40"/>
      <c r="P254" s="46"/>
    </row>
    <row r="255" spans="1:16" x14ac:dyDescent="0.2">
      <c r="A255" s="47"/>
      <c r="B255" s="46"/>
      <c r="C255" s="47"/>
      <c r="D255" s="47"/>
      <c r="E255" s="46"/>
      <c r="F255" s="46"/>
      <c r="G255" s="46"/>
      <c r="H255" s="47"/>
      <c r="I255" s="47"/>
      <c r="J255" s="46"/>
      <c r="K255" s="46"/>
      <c r="L255" s="46"/>
      <c r="M255" s="40"/>
      <c r="N255" s="41"/>
      <c r="O255" s="40"/>
      <c r="P255" s="46"/>
    </row>
    <row r="256" spans="1:16" x14ac:dyDescent="0.2">
      <c r="A256" s="47"/>
      <c r="B256" s="46"/>
      <c r="C256" s="47"/>
      <c r="D256" s="47"/>
      <c r="E256" s="46"/>
      <c r="F256" s="46"/>
      <c r="G256" s="46"/>
      <c r="H256" s="47"/>
      <c r="I256" s="47"/>
      <c r="J256" s="46"/>
      <c r="K256" s="46"/>
      <c r="L256" s="46"/>
      <c r="M256" s="40"/>
      <c r="N256" s="41"/>
      <c r="O256" s="40"/>
      <c r="P256" s="46"/>
    </row>
    <row r="257" spans="1:16" x14ac:dyDescent="0.2">
      <c r="A257" s="47"/>
      <c r="B257" s="46"/>
      <c r="C257" s="47"/>
      <c r="D257" s="47"/>
      <c r="E257" s="46"/>
      <c r="F257" s="46"/>
      <c r="G257" s="46"/>
      <c r="H257" s="47"/>
      <c r="I257" s="47"/>
      <c r="J257" s="46"/>
      <c r="K257" s="46"/>
      <c r="L257" s="46"/>
      <c r="M257" s="40"/>
      <c r="N257" s="41"/>
      <c r="O257" s="40"/>
      <c r="P257" s="46"/>
    </row>
    <row r="258" spans="1:16" x14ac:dyDescent="0.2">
      <c r="A258" s="47"/>
      <c r="B258" s="46"/>
      <c r="C258" s="47"/>
      <c r="D258" s="47"/>
      <c r="E258" s="46"/>
      <c r="F258" s="46"/>
      <c r="G258" s="46"/>
      <c r="H258" s="47"/>
      <c r="I258" s="47"/>
      <c r="J258" s="46"/>
      <c r="K258" s="46"/>
      <c r="L258" s="46"/>
      <c r="M258" s="40"/>
      <c r="N258" s="41"/>
      <c r="O258" s="40"/>
      <c r="P258" s="46"/>
    </row>
    <row r="259" spans="1:16" x14ac:dyDescent="0.2">
      <c r="A259" s="47"/>
      <c r="B259" s="46"/>
      <c r="C259" s="47"/>
      <c r="D259" s="47"/>
      <c r="E259" s="46"/>
      <c r="F259" s="46"/>
      <c r="G259" s="46"/>
      <c r="H259" s="47"/>
      <c r="I259" s="47"/>
      <c r="J259" s="46"/>
      <c r="K259" s="46"/>
      <c r="L259" s="46"/>
      <c r="M259" s="40"/>
      <c r="N259" s="41"/>
      <c r="O259" s="40"/>
      <c r="P259" s="46"/>
    </row>
    <row r="260" spans="1:16" x14ac:dyDescent="0.2">
      <c r="A260" s="47"/>
      <c r="B260" s="46"/>
      <c r="C260" s="47"/>
      <c r="D260" s="47"/>
      <c r="E260" s="46"/>
      <c r="F260" s="46"/>
      <c r="G260" s="46"/>
      <c r="H260" s="47"/>
      <c r="I260" s="47"/>
      <c r="J260" s="46"/>
      <c r="K260" s="46"/>
      <c r="L260" s="46"/>
      <c r="M260" s="40"/>
      <c r="N260" s="41"/>
      <c r="O260" s="40"/>
      <c r="P260" s="46"/>
    </row>
    <row r="261" spans="1:16" x14ac:dyDescent="0.2">
      <c r="A261" s="47"/>
      <c r="B261" s="46"/>
      <c r="C261" s="47"/>
      <c r="D261" s="47"/>
      <c r="E261" s="46"/>
      <c r="F261" s="46"/>
      <c r="G261" s="46"/>
      <c r="H261" s="47"/>
      <c r="I261" s="47"/>
      <c r="J261" s="46"/>
      <c r="K261" s="46"/>
      <c r="L261" s="46"/>
      <c r="M261" s="40"/>
      <c r="N261" s="41"/>
      <c r="O261" s="40"/>
      <c r="P261" s="46"/>
    </row>
    <row r="262" spans="1:16" x14ac:dyDescent="0.2">
      <c r="A262" s="47"/>
      <c r="B262" s="46"/>
      <c r="C262" s="47"/>
      <c r="D262" s="47"/>
      <c r="E262" s="46"/>
      <c r="F262" s="46"/>
      <c r="G262" s="46"/>
      <c r="H262" s="47"/>
      <c r="I262" s="47"/>
      <c r="J262" s="46"/>
      <c r="K262" s="46"/>
      <c r="L262" s="46"/>
      <c r="M262" s="40"/>
      <c r="N262" s="41"/>
      <c r="O262" s="40"/>
      <c r="P262" s="46"/>
    </row>
    <row r="263" spans="1:16" x14ac:dyDescent="0.2">
      <c r="A263" s="47"/>
      <c r="B263" s="46"/>
      <c r="C263" s="47"/>
      <c r="D263" s="47"/>
      <c r="E263" s="46"/>
      <c r="F263" s="46"/>
      <c r="G263" s="46"/>
      <c r="H263" s="47"/>
      <c r="I263" s="47"/>
      <c r="J263" s="46"/>
      <c r="K263" s="46"/>
      <c r="L263" s="46"/>
      <c r="M263" s="40"/>
      <c r="N263" s="41"/>
      <c r="O263" s="40"/>
      <c r="P263" s="46"/>
    </row>
    <row r="264" spans="1:16" x14ac:dyDescent="0.2">
      <c r="A264" s="47"/>
      <c r="B264" s="46"/>
      <c r="C264" s="47"/>
      <c r="D264" s="47"/>
      <c r="E264" s="46"/>
      <c r="F264" s="46"/>
      <c r="G264" s="46"/>
      <c r="H264" s="47"/>
      <c r="I264" s="47"/>
      <c r="J264" s="46"/>
      <c r="K264" s="46"/>
      <c r="L264" s="46"/>
      <c r="M264" s="40"/>
      <c r="N264" s="41"/>
      <c r="O264" s="40"/>
      <c r="P264" s="46"/>
    </row>
    <row r="265" spans="1:16" x14ac:dyDescent="0.2">
      <c r="A265" s="47"/>
      <c r="B265" s="46"/>
      <c r="C265" s="47"/>
      <c r="D265" s="47"/>
      <c r="E265" s="46"/>
      <c r="F265" s="46"/>
      <c r="G265" s="46"/>
      <c r="H265" s="47"/>
      <c r="I265" s="47"/>
      <c r="J265" s="46"/>
      <c r="K265" s="46"/>
      <c r="L265" s="46"/>
      <c r="M265" s="40"/>
      <c r="N265" s="41"/>
      <c r="O265" s="40"/>
      <c r="P265" s="46"/>
    </row>
    <row r="266" spans="1:16" x14ac:dyDescent="0.2">
      <c r="A266" s="47"/>
      <c r="B266" s="46"/>
      <c r="C266" s="47"/>
      <c r="D266" s="47"/>
      <c r="E266" s="46"/>
      <c r="F266" s="46"/>
      <c r="G266" s="46"/>
      <c r="H266" s="47"/>
      <c r="I266" s="47"/>
      <c r="J266" s="46"/>
      <c r="K266" s="46"/>
      <c r="L266" s="46"/>
      <c r="M266" s="40"/>
      <c r="N266" s="41"/>
      <c r="O266" s="40"/>
      <c r="P266" s="46"/>
    </row>
    <row r="267" spans="1:16" x14ac:dyDescent="0.2">
      <c r="A267" s="47"/>
      <c r="B267" s="46"/>
      <c r="C267" s="47"/>
      <c r="D267" s="47"/>
      <c r="E267" s="46"/>
      <c r="F267" s="46"/>
      <c r="G267" s="46"/>
      <c r="H267" s="47"/>
      <c r="I267" s="47"/>
      <c r="J267" s="46"/>
      <c r="K267" s="46"/>
      <c r="L267" s="46"/>
      <c r="M267" s="40"/>
      <c r="N267" s="41"/>
      <c r="O267" s="40"/>
      <c r="P267" s="46"/>
    </row>
    <row r="268" spans="1:16" x14ac:dyDescent="0.2">
      <c r="A268" s="47"/>
      <c r="B268" s="46"/>
      <c r="C268" s="47"/>
      <c r="D268" s="47"/>
      <c r="E268" s="46"/>
      <c r="F268" s="46"/>
      <c r="G268" s="46"/>
      <c r="H268" s="47"/>
      <c r="I268" s="47"/>
      <c r="J268" s="46"/>
      <c r="K268" s="46"/>
      <c r="L268" s="46"/>
      <c r="M268" s="40"/>
      <c r="N268" s="41"/>
      <c r="O268" s="40"/>
      <c r="P268" s="46"/>
    </row>
    <row r="269" spans="1:16" x14ac:dyDescent="0.2">
      <c r="A269" s="47"/>
      <c r="B269" s="46"/>
      <c r="C269" s="47"/>
      <c r="D269" s="47"/>
      <c r="E269" s="46"/>
      <c r="F269" s="46"/>
      <c r="G269" s="46"/>
      <c r="H269" s="47"/>
      <c r="I269" s="47"/>
      <c r="J269" s="46"/>
      <c r="K269" s="46"/>
      <c r="L269" s="46"/>
      <c r="M269" s="40"/>
      <c r="N269" s="41"/>
      <c r="O269" s="40"/>
      <c r="P269" s="46"/>
    </row>
    <row r="270" spans="1:16" x14ac:dyDescent="0.2">
      <c r="A270" s="47"/>
      <c r="B270" s="46"/>
      <c r="C270" s="47"/>
      <c r="D270" s="47"/>
      <c r="E270" s="46"/>
      <c r="F270" s="46"/>
      <c r="G270" s="46"/>
      <c r="H270" s="47"/>
      <c r="I270" s="47"/>
      <c r="J270" s="46"/>
      <c r="K270" s="46"/>
      <c r="L270" s="46"/>
      <c r="M270" s="40"/>
      <c r="N270" s="41"/>
      <c r="O270" s="40"/>
      <c r="P270" s="46"/>
    </row>
    <row r="271" spans="1:16" x14ac:dyDescent="0.2">
      <c r="A271" s="47"/>
      <c r="B271" s="46"/>
      <c r="C271" s="47"/>
      <c r="D271" s="47"/>
      <c r="E271" s="46"/>
      <c r="F271" s="46"/>
      <c r="G271" s="46"/>
      <c r="H271" s="47"/>
      <c r="I271" s="47"/>
      <c r="J271" s="46"/>
      <c r="K271" s="46"/>
      <c r="L271" s="46"/>
      <c r="M271" s="40"/>
      <c r="N271" s="41"/>
      <c r="O271" s="40"/>
      <c r="P271" s="46"/>
    </row>
    <row r="272" spans="1:16" x14ac:dyDescent="0.2">
      <c r="A272" s="47"/>
      <c r="B272" s="46"/>
      <c r="C272" s="47"/>
      <c r="D272" s="47"/>
      <c r="E272" s="46"/>
      <c r="F272" s="46"/>
      <c r="G272" s="46"/>
      <c r="H272" s="47"/>
      <c r="I272" s="47"/>
      <c r="J272" s="46"/>
      <c r="K272" s="46"/>
      <c r="L272" s="46"/>
      <c r="M272" s="40"/>
      <c r="N272" s="41"/>
      <c r="O272" s="40"/>
      <c r="P272" s="46"/>
    </row>
    <row r="273" spans="1:16" x14ac:dyDescent="0.2">
      <c r="A273" s="47"/>
      <c r="B273" s="46"/>
      <c r="C273" s="47"/>
      <c r="D273" s="47"/>
      <c r="E273" s="46"/>
      <c r="F273" s="46"/>
      <c r="G273" s="46"/>
      <c r="H273" s="47"/>
      <c r="I273" s="47"/>
      <c r="J273" s="46"/>
      <c r="K273" s="46"/>
      <c r="L273" s="46"/>
      <c r="M273" s="40"/>
      <c r="N273" s="41"/>
      <c r="O273" s="40"/>
      <c r="P273" s="46"/>
    </row>
    <row r="274" spans="1:16" x14ac:dyDescent="0.2">
      <c r="A274" s="47"/>
      <c r="B274" s="46"/>
      <c r="C274" s="47"/>
      <c r="D274" s="47"/>
      <c r="E274" s="46"/>
      <c r="F274" s="46"/>
      <c r="G274" s="46"/>
      <c r="H274" s="47"/>
      <c r="I274" s="47"/>
      <c r="J274" s="46"/>
      <c r="K274" s="46"/>
      <c r="L274" s="46"/>
      <c r="M274" s="40"/>
      <c r="N274" s="41"/>
      <c r="O274" s="40"/>
      <c r="P274" s="46"/>
    </row>
    <row r="275" spans="1:16" x14ac:dyDescent="0.2">
      <c r="A275" s="47"/>
      <c r="B275" s="46"/>
      <c r="C275" s="47"/>
      <c r="D275" s="47"/>
      <c r="E275" s="46"/>
      <c r="F275" s="46"/>
      <c r="G275" s="46"/>
      <c r="H275" s="47"/>
      <c r="I275" s="47"/>
      <c r="J275" s="46"/>
      <c r="K275" s="46"/>
      <c r="L275" s="46"/>
      <c r="M275" s="40"/>
      <c r="N275" s="41"/>
      <c r="O275" s="40"/>
      <c r="P275" s="46"/>
    </row>
    <row r="276" spans="1:16" x14ac:dyDescent="0.2">
      <c r="A276" s="47"/>
      <c r="B276" s="46"/>
      <c r="C276" s="47"/>
      <c r="D276" s="47"/>
      <c r="E276" s="46"/>
      <c r="F276" s="46"/>
      <c r="G276" s="46"/>
      <c r="H276" s="47"/>
      <c r="I276" s="47"/>
      <c r="J276" s="46"/>
      <c r="K276" s="46"/>
      <c r="L276" s="46"/>
      <c r="M276" s="40"/>
      <c r="N276" s="41"/>
      <c r="O276" s="40"/>
      <c r="P276" s="46"/>
    </row>
    <row r="277" spans="1:16" x14ac:dyDescent="0.2">
      <c r="A277" s="47"/>
      <c r="B277" s="46"/>
      <c r="C277" s="47"/>
      <c r="D277" s="47"/>
      <c r="E277" s="46"/>
      <c r="F277" s="46"/>
      <c r="G277" s="46"/>
      <c r="H277" s="47"/>
      <c r="I277" s="47"/>
      <c r="J277" s="46"/>
      <c r="K277" s="46"/>
      <c r="L277" s="46"/>
      <c r="M277" s="40"/>
      <c r="N277" s="41"/>
      <c r="O277" s="40"/>
      <c r="P277" s="46"/>
    </row>
    <row r="278" spans="1:16" x14ac:dyDescent="0.2">
      <c r="A278" s="47"/>
      <c r="B278" s="46"/>
      <c r="C278" s="47"/>
      <c r="D278" s="47"/>
      <c r="E278" s="46"/>
      <c r="F278" s="46"/>
      <c r="G278" s="46"/>
      <c r="H278" s="47"/>
      <c r="I278" s="47"/>
      <c r="J278" s="46"/>
      <c r="K278" s="46"/>
      <c r="L278" s="46"/>
      <c r="M278" s="40"/>
      <c r="N278" s="41"/>
      <c r="O278" s="40"/>
      <c r="P278" s="46"/>
    </row>
    <row r="279" spans="1:16" x14ac:dyDescent="0.2">
      <c r="A279" s="47"/>
      <c r="B279" s="46"/>
      <c r="C279" s="47"/>
      <c r="D279" s="47"/>
      <c r="E279" s="46"/>
      <c r="F279" s="46"/>
      <c r="G279" s="46"/>
      <c r="H279" s="47"/>
      <c r="I279" s="47"/>
      <c r="J279" s="46"/>
      <c r="K279" s="46"/>
      <c r="L279" s="46"/>
      <c r="M279" s="40"/>
      <c r="N279" s="41"/>
      <c r="O279" s="40"/>
      <c r="P279" s="46"/>
    </row>
    <row r="280" spans="1:16" x14ac:dyDescent="0.2">
      <c r="A280" s="47"/>
      <c r="B280" s="46"/>
      <c r="C280" s="47"/>
      <c r="D280" s="47"/>
      <c r="E280" s="46"/>
      <c r="F280" s="46"/>
      <c r="G280" s="46"/>
      <c r="H280" s="47"/>
      <c r="I280" s="47"/>
      <c r="J280" s="46"/>
      <c r="K280" s="46"/>
      <c r="L280" s="46"/>
      <c r="M280" s="40"/>
      <c r="N280" s="41"/>
      <c r="O280" s="40"/>
      <c r="P280" s="46"/>
    </row>
    <row r="281" spans="1:16" x14ac:dyDescent="0.2">
      <c r="A281" s="47"/>
      <c r="B281" s="46"/>
      <c r="C281" s="47"/>
      <c r="D281" s="47"/>
      <c r="E281" s="46"/>
      <c r="F281" s="46"/>
      <c r="G281" s="46"/>
      <c r="H281" s="47"/>
      <c r="I281" s="47"/>
      <c r="J281" s="46"/>
      <c r="K281" s="46"/>
      <c r="L281" s="46"/>
      <c r="M281" s="40"/>
      <c r="N281" s="41"/>
      <c r="O281" s="40"/>
      <c r="P281" s="46"/>
    </row>
    <row r="282" spans="1:16" x14ac:dyDescent="0.2">
      <c r="A282" s="47"/>
      <c r="B282" s="46"/>
      <c r="C282" s="47"/>
      <c r="D282" s="47"/>
      <c r="E282" s="46"/>
      <c r="F282" s="46"/>
      <c r="G282" s="46"/>
      <c r="H282" s="47"/>
      <c r="I282" s="47"/>
      <c r="J282" s="46"/>
      <c r="K282" s="46"/>
      <c r="L282" s="46"/>
      <c r="M282" s="40"/>
      <c r="N282" s="41"/>
      <c r="O282" s="40"/>
      <c r="P282" s="46"/>
    </row>
    <row r="283" spans="1:16" x14ac:dyDescent="0.2">
      <c r="A283" s="47"/>
      <c r="B283" s="46"/>
      <c r="C283" s="47"/>
      <c r="D283" s="47"/>
      <c r="E283" s="46"/>
      <c r="F283" s="46"/>
      <c r="G283" s="46"/>
      <c r="H283" s="47"/>
      <c r="I283" s="47"/>
      <c r="J283" s="46"/>
      <c r="K283" s="46"/>
      <c r="L283" s="46"/>
      <c r="M283" s="40"/>
      <c r="N283" s="41"/>
      <c r="O283" s="40"/>
      <c r="P283" s="46"/>
    </row>
    <row r="284" spans="1:16" x14ac:dyDescent="0.2">
      <c r="A284" s="47"/>
      <c r="B284" s="46"/>
      <c r="C284" s="47"/>
      <c r="D284" s="47"/>
      <c r="E284" s="46"/>
      <c r="F284" s="46"/>
      <c r="G284" s="46"/>
      <c r="H284" s="47"/>
      <c r="I284" s="47"/>
      <c r="J284" s="46"/>
      <c r="K284" s="46"/>
      <c r="L284" s="46"/>
      <c r="M284" s="40"/>
      <c r="N284" s="41"/>
      <c r="O284" s="40"/>
      <c r="P284" s="46"/>
    </row>
    <row r="285" spans="1:16" x14ac:dyDescent="0.2">
      <c r="A285" s="47"/>
      <c r="B285" s="46"/>
      <c r="C285" s="47"/>
      <c r="D285" s="47"/>
      <c r="E285" s="46"/>
      <c r="F285" s="46"/>
      <c r="G285" s="46"/>
      <c r="H285" s="47"/>
      <c r="I285" s="47"/>
      <c r="J285" s="46"/>
      <c r="K285" s="46"/>
      <c r="L285" s="46"/>
      <c r="M285" s="40"/>
      <c r="N285" s="41"/>
      <c r="O285" s="40"/>
      <c r="P285" s="46"/>
    </row>
    <row r="286" spans="1:16" x14ac:dyDescent="0.2">
      <c r="A286" s="47"/>
      <c r="B286" s="46"/>
      <c r="C286" s="47"/>
      <c r="D286" s="47"/>
      <c r="E286" s="46"/>
      <c r="F286" s="46"/>
      <c r="G286" s="46"/>
      <c r="H286" s="47"/>
      <c r="I286" s="47"/>
      <c r="J286" s="46"/>
      <c r="K286" s="46"/>
      <c r="L286" s="46"/>
      <c r="M286" s="40"/>
      <c r="N286" s="41"/>
      <c r="O286" s="40"/>
      <c r="P286" s="46"/>
    </row>
    <row r="287" spans="1:16" x14ac:dyDescent="0.2">
      <c r="A287" s="47"/>
      <c r="B287" s="46"/>
      <c r="C287" s="47"/>
      <c r="D287" s="47"/>
      <c r="E287" s="46"/>
      <c r="F287" s="46"/>
      <c r="G287" s="46"/>
      <c r="H287" s="47"/>
      <c r="I287" s="47"/>
      <c r="J287" s="46"/>
      <c r="K287" s="46"/>
      <c r="L287" s="46"/>
      <c r="M287" s="40"/>
      <c r="N287" s="41"/>
      <c r="O287" s="40"/>
      <c r="P287" s="46"/>
    </row>
    <row r="288" spans="1:16" x14ac:dyDescent="0.2">
      <c r="A288" s="47"/>
      <c r="B288" s="46"/>
      <c r="C288" s="47"/>
      <c r="D288" s="47"/>
      <c r="E288" s="46"/>
      <c r="F288" s="46"/>
      <c r="G288" s="46"/>
      <c r="H288" s="47"/>
      <c r="I288" s="47"/>
      <c r="J288" s="46"/>
      <c r="K288" s="46"/>
      <c r="L288" s="46"/>
      <c r="M288" s="40"/>
      <c r="N288" s="41"/>
      <c r="O288" s="40"/>
      <c r="P288" s="46"/>
    </row>
    <row r="289" spans="1:16" x14ac:dyDescent="0.2">
      <c r="A289" s="47"/>
      <c r="B289" s="46"/>
      <c r="C289" s="47"/>
      <c r="D289" s="47"/>
      <c r="E289" s="46"/>
      <c r="F289" s="46"/>
      <c r="G289" s="46"/>
      <c r="H289" s="47"/>
      <c r="I289" s="47"/>
      <c r="J289" s="46"/>
      <c r="K289" s="46"/>
      <c r="L289" s="46"/>
      <c r="M289" s="40"/>
      <c r="N289" s="41"/>
      <c r="O289" s="40"/>
      <c r="P289" s="46"/>
    </row>
    <row r="290" spans="1:16" x14ac:dyDescent="0.2">
      <c r="A290" s="47"/>
      <c r="B290" s="46"/>
      <c r="C290" s="47"/>
      <c r="D290" s="47"/>
      <c r="E290" s="46"/>
      <c r="F290" s="46"/>
      <c r="G290" s="46"/>
      <c r="H290" s="47"/>
      <c r="I290" s="47"/>
      <c r="J290" s="46"/>
      <c r="K290" s="46"/>
      <c r="L290" s="46"/>
      <c r="M290" s="40"/>
      <c r="N290" s="41"/>
      <c r="O290" s="40"/>
      <c r="P290" s="46"/>
    </row>
    <row r="291" spans="1:16" x14ac:dyDescent="0.2">
      <c r="A291" s="47"/>
      <c r="B291" s="46"/>
      <c r="C291" s="47"/>
      <c r="D291" s="47"/>
      <c r="E291" s="46"/>
      <c r="F291" s="46"/>
      <c r="G291" s="46"/>
      <c r="H291" s="47"/>
      <c r="I291" s="47"/>
      <c r="J291" s="46"/>
      <c r="K291" s="46"/>
      <c r="L291" s="46"/>
      <c r="M291" s="40"/>
      <c r="N291" s="41"/>
      <c r="O291" s="40"/>
      <c r="P291" s="46"/>
    </row>
    <row r="292" spans="1:16" x14ac:dyDescent="0.2">
      <c r="A292" s="47"/>
      <c r="B292" s="46"/>
      <c r="C292" s="47"/>
      <c r="D292" s="47"/>
      <c r="E292" s="46"/>
      <c r="F292" s="46"/>
      <c r="G292" s="46"/>
      <c r="H292" s="47"/>
      <c r="I292" s="47"/>
      <c r="J292" s="46"/>
      <c r="K292" s="46"/>
      <c r="L292" s="46"/>
      <c r="M292" s="40"/>
      <c r="N292" s="41"/>
      <c r="O292" s="40"/>
      <c r="P292" s="46"/>
    </row>
    <row r="293" spans="1:16" x14ac:dyDescent="0.2">
      <c r="A293" s="47"/>
      <c r="B293" s="46"/>
      <c r="C293" s="47"/>
      <c r="D293" s="47"/>
      <c r="E293" s="46"/>
      <c r="F293" s="46"/>
      <c r="G293" s="46"/>
      <c r="H293" s="47"/>
      <c r="I293" s="47"/>
      <c r="J293" s="46"/>
      <c r="K293" s="46"/>
      <c r="L293" s="46"/>
      <c r="M293" s="40"/>
      <c r="N293" s="41"/>
      <c r="O293" s="40"/>
      <c r="P293" s="46"/>
    </row>
    <row r="294" spans="1:16" x14ac:dyDescent="0.2">
      <c r="J294" s="62"/>
      <c r="K294" s="63"/>
      <c r="L294" s="64"/>
    </row>
    <row r="295" spans="1:16" x14ac:dyDescent="0.2">
      <c r="J295" s="62"/>
      <c r="K295" s="63"/>
      <c r="L295" s="64"/>
    </row>
    <row r="296" spans="1:16" x14ac:dyDescent="0.2">
      <c r="J296" s="62"/>
      <c r="K296" s="63"/>
      <c r="L296" s="64"/>
    </row>
    <row r="297" spans="1:16" x14ac:dyDescent="0.2">
      <c r="J297" s="62"/>
      <c r="K297" s="63"/>
      <c r="L297" s="64"/>
    </row>
    <row r="298" spans="1:16" x14ac:dyDescent="0.2">
      <c r="J298" s="62"/>
      <c r="K298" s="63"/>
      <c r="L298" s="64"/>
    </row>
    <row r="299" spans="1:16" x14ac:dyDescent="0.2">
      <c r="J299" s="62"/>
      <c r="K299" s="63"/>
      <c r="L299" s="64"/>
    </row>
    <row r="300" spans="1:16" x14ac:dyDescent="0.2">
      <c r="J300" s="62"/>
      <c r="K300" s="63"/>
      <c r="L300" s="64"/>
    </row>
    <row r="301" spans="1:16" x14ac:dyDescent="0.2">
      <c r="J301" s="62"/>
      <c r="K301" s="63"/>
      <c r="L301" s="64"/>
    </row>
    <row r="302" spans="1:16" x14ac:dyDescent="0.2">
      <c r="J302" s="62"/>
      <c r="K302" s="63"/>
      <c r="L302" s="64"/>
    </row>
    <row r="303" spans="1:16" x14ac:dyDescent="0.2">
      <c r="J303" s="62"/>
      <c r="K303" s="63"/>
      <c r="L303" s="64"/>
    </row>
    <row r="304" spans="1:16" x14ac:dyDescent="0.2">
      <c r="J304" s="62"/>
      <c r="K304" s="63"/>
      <c r="L304" s="64"/>
    </row>
    <row r="305" spans="10:12" x14ac:dyDescent="0.2">
      <c r="J305" s="62"/>
      <c r="K305" s="63"/>
      <c r="L305" s="64"/>
    </row>
    <row r="306" spans="10:12" x14ac:dyDescent="0.2">
      <c r="J306" s="62"/>
      <c r="K306" s="63"/>
      <c r="L306" s="64"/>
    </row>
    <row r="307" spans="10:12" x14ac:dyDescent="0.2">
      <c r="J307" s="62"/>
      <c r="K307" s="63"/>
      <c r="L307" s="64"/>
    </row>
    <row r="308" spans="10:12" x14ac:dyDescent="0.2">
      <c r="J308" s="62"/>
      <c r="K308" s="63"/>
      <c r="L308" s="64"/>
    </row>
  </sheetData>
  <autoFilter ref="A1:P180" xr:uid="{00000000-0009-0000-0000-000002000000}"/>
  <mergeCells count="48">
    <mergeCell ref="P183:P184"/>
    <mergeCell ref="P173:P174"/>
    <mergeCell ref="P175:P177"/>
    <mergeCell ref="P160:P162"/>
    <mergeCell ref="P147:P148"/>
    <mergeCell ref="P149:P151"/>
    <mergeCell ref="P113:P114"/>
    <mergeCell ref="C17:C19"/>
    <mergeCell ref="C20:C22"/>
    <mergeCell ref="C23:C24"/>
    <mergeCell ref="P181:P182"/>
    <mergeCell ref="P83:P85"/>
    <mergeCell ref="P86:P87"/>
    <mergeCell ref="P88:P91"/>
    <mergeCell ref="P94:P96"/>
    <mergeCell ref="P100:P103"/>
    <mergeCell ref="P128:P129"/>
    <mergeCell ref="P131:P132"/>
    <mergeCell ref="C12:C16"/>
    <mergeCell ref="R1:T1"/>
    <mergeCell ref="P4:P6"/>
    <mergeCell ref="P40:P42"/>
    <mergeCell ref="P66:P68"/>
    <mergeCell ref="P7:P9"/>
    <mergeCell ref="P12:P16"/>
    <mergeCell ref="P17:P19"/>
    <mergeCell ref="P20:P22"/>
    <mergeCell ref="R14:T14"/>
    <mergeCell ref="P23:P24"/>
    <mergeCell ref="P79:P80"/>
    <mergeCell ref="P115:P116"/>
    <mergeCell ref="P117:P118"/>
    <mergeCell ref="F198:F199"/>
    <mergeCell ref="G198:G199"/>
    <mergeCell ref="P198:P199"/>
    <mergeCell ref="C2:C3"/>
    <mergeCell ref="P2:P3"/>
    <mergeCell ref="P133:P134"/>
    <mergeCell ref="P142:P143"/>
    <mergeCell ref="P144:P146"/>
    <mergeCell ref="P106:P107"/>
    <mergeCell ref="P108:P109"/>
    <mergeCell ref="P110:P111"/>
    <mergeCell ref="C4:C6"/>
    <mergeCell ref="C7:C9"/>
    <mergeCell ref="P119:P121"/>
    <mergeCell ref="P122:P123"/>
    <mergeCell ref="P126:P127"/>
  </mergeCells>
  <pageMargins left="0.7" right="0.7" top="0.75" bottom="0.75" header="0.3" footer="0.3"/>
  <pageSetup paperSize="9" scale="54" orientation="landscape" r:id="rId1"/>
  <colBreaks count="1" manualBreakCount="1">
    <brk id="15" max="13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ΕΡΓΟ</vt:lpstr>
      <vt:lpstr>ΑΠΟΛΟΓΙΣΤΙΚΑ</vt:lpstr>
      <vt:lpstr>ΕΝΟΙΚΙΑ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Jeremy Maier</cp:lastModifiedBy>
  <cp:lastPrinted>2023-08-30T13:02:28Z</cp:lastPrinted>
  <dcterms:created xsi:type="dcterms:W3CDTF">2023-07-26T07:16:12Z</dcterms:created>
  <dcterms:modified xsi:type="dcterms:W3CDTF">2026-01-27T19:08:40Z</dcterms:modified>
</cp:coreProperties>
</file>